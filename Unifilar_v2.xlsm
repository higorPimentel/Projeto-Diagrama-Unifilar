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aranis\Desktop\GITHUB\Projeto-Diagrama-Unifilar\"/>
    </mc:Choice>
  </mc:AlternateContent>
  <xr:revisionPtr revIDLastSave="0" documentId="13_ncr:1_{C32506A2-8837-4C8E-88C8-567CAF7A6EC4}" xr6:coauthVersionLast="47" xr6:coauthVersionMax="47" xr10:uidLastSave="{00000000-0000-0000-0000-000000000000}"/>
  <bookViews>
    <workbookView xWindow="-120" yWindow="-120" windowWidth="20730" windowHeight="11160" tabRatio="990" firstSheet="1" activeTab="1" xr2:uid="{00000000-000D-0000-FFFF-FFFF00000000}"/>
  </bookViews>
  <sheets>
    <sheet name="Entrada" sheetId="8" state="hidden" r:id="rId1"/>
    <sheet name="Iniciar" sheetId="18" r:id="rId2"/>
    <sheet name="info_micro" sheetId="39" state="hidden" r:id="rId3"/>
    <sheet name="gera_subs" sheetId="41" state="hidden" r:id="rId4"/>
    <sheet name="base_cmb_frm1" sheetId="38" state="hidden" r:id="rId5"/>
    <sheet name="info_form" sheetId="16" state="hidden" r:id="rId6"/>
    <sheet name="dados_micro" sheetId="42" state="hidden" r:id="rId7"/>
    <sheet name="dados_cadastro" sheetId="17" state="hidden" r:id="rId8"/>
    <sheet name="dados_usuario" sheetId="37" state="hidden" r:id="rId9"/>
    <sheet name="base_projetista" sheetId="13" state="hidden" r:id="rId10"/>
  </sheets>
  <externalReferences>
    <externalReference r:id="rId11"/>
  </externalReferences>
  <definedNames>
    <definedName name="_xlnm._FilterDatabase" localSheetId="4" hidden="1">base_cmb_frm1!$A$1:$AG$32</definedName>
    <definedName name="_xlnm._FilterDatabase" localSheetId="7" hidden="1">dados_cadastro!$A$1:$BX$1</definedName>
    <definedName name="_xlnm._FilterDatabase" localSheetId="5" hidden="1">info_form!$A$1:$R$63</definedName>
    <definedName name="_line_mod2_4">#REF!</definedName>
    <definedName name="BI">'[1]banco de dados'!$D$5</definedName>
    <definedName name="bifasico">#REF!</definedName>
    <definedName name="bipa">'[1]banco de dados'!$H$5</definedName>
    <definedName name="branco">#REF!</definedName>
    <definedName name="CA1P">#REF!</definedName>
    <definedName name="CA2P">#REF!</definedName>
    <definedName name="CA3P">#REF!</definedName>
    <definedName name="categoriaca">IF([1]PREENCHIMENTO!$B$147="Monopolar",FMONO,IF([1]PREENCHIMENTO!$B$147="Bipolar",FFbi,FFFtri))</definedName>
    <definedName name="CC1P">#REF!</definedName>
    <definedName name="CC2P">#REF!</definedName>
    <definedName name="CC3P">#REF!</definedName>
    <definedName name="chavesecc">#REF!</definedName>
    <definedName name="conexao111a">IF(AND(#REF!=3,#REF!=3),branco,#REF!)</definedName>
    <definedName name="conexao11a">IF(AND(#REF!=2,#REF!=2),branco,#REF!)</definedName>
    <definedName name="conexao12a">IF(AND(#REF!=2,#REF!=3),branco,#REF!)</definedName>
    <definedName name="djposte">IF(#REF!=1,#REF!,IF(#REF!=2,#REF!,#REF!))</definedName>
    <definedName name="djstringca">#REF!</definedName>
    <definedName name="famo">#REF!</definedName>
    <definedName name="fase_poste">IF(#REF!=1,"monopolar",IF(#REF!=2,"bipolar","tripolar"))</definedName>
    <definedName name="fases_poste">IF(#REF!=1,#REF!,IF(#REF!=2,#REF!,IF(#REF!=3,#REF!,"")))</definedName>
    <definedName name="fases_stringca">IF(#REF!=1,famo,IF(#REF!=2,bifasico,trifasico))</definedName>
    <definedName name="FFbi">'[1]banco de dados'!$J$7</definedName>
    <definedName name="FFFtri">'[1]banco de dados'!$J$8</definedName>
    <definedName name="FMONO">'[1]banco de dados'!$J$4</definedName>
    <definedName name="imagens">IF([1]PREENCHIMENTO!$B$147="Monopolar",MONO,IF([1]PREENCHIMENTO!$B$147="Bipolar",BI,IF([1]PREENCHIMENTO!$B$147="Tripolar",TRI)))</definedName>
    <definedName name="integrada" comment="Se verdadeira, apresenta um tipo de proteção para o inversor">IF(#REF!="Sim",#REF!,#REF!)</definedName>
    <definedName name="inversor" comment="Imprime um inversor de acordo com  os paremetro de mppt e entradas">IF(#REF!=1,IF(#REF!=2,#REF!,#REF!),IF(#REF!=4,#REF!,#REF!))</definedName>
    <definedName name="linhacc" comment="Quando verdadeiro, imprime uma linha para substituir a seccionadora e dps">IF(#REF!="Sim",#REF!,#REF!)</definedName>
    <definedName name="modulo1">IF(#REF!=1,modulofv,branco)</definedName>
    <definedName name="modulo10">IF(#REF!=1,modulofv,branco)</definedName>
    <definedName name="modulo11">IF(#REF!=1,modulofv,branco)</definedName>
    <definedName name="modulo12">IF(#REF!=1,modulofv,branco)</definedName>
    <definedName name="modulo2">IF(#REF!=1,modulofv,branco)</definedName>
    <definedName name="modulo3">IF(#REF!=1,modulofv,branco)</definedName>
    <definedName name="modulo5" comment="ao chegar nos 5 modulos , apresenta uma uma imagem de um modulo.">IF(#REF!=1,modulofv,branco)</definedName>
    <definedName name="modulo6" comment="Imprimir o sexto modulo">IF(#REF!=1,modulofv,branco)</definedName>
    <definedName name="modulo7" comment="Imprimi o 7 modundo quando nescessario.">IF(#REF!=1,modulofv,branco)</definedName>
    <definedName name="modulo8" comment="imprime o oitavo modulo quando nescessario.">IF(#REF!=1,modulofv,branco)</definedName>
    <definedName name="modulo9" comment="representa um modulo, ao possuir 9">IF(#REF!=1,modulofv,branco)</definedName>
    <definedName name="modulofv">#REF!</definedName>
    <definedName name="MONO">'[1]banco de dados'!$D$4</definedName>
    <definedName name="monofa">#REF!</definedName>
    <definedName name="monofasico">#REF!</definedName>
    <definedName name="monopa">'[1]banco de dados'!$H$4</definedName>
    <definedName name="neutro">#REF!</definedName>
    <definedName name="padrao">IF([1]PREENCHIMENTO!$B$39="Monopolar",monopa,IF([1]PREENCHIMENTO!$B$39="Bipolar",bipa,IF([1]PREENCHIMENTO!$B$39="Tripolar",tripa,"")))</definedName>
    <definedName name="PE1P">#REF!</definedName>
    <definedName name="PE2P">#REF!</definedName>
    <definedName name="PE3P">#REF!</definedName>
    <definedName name="polo_stringCA">IF(#REF!=#REF!,CA1P,IF(#REF!=#REF!,CA2P,CA3P))</definedName>
    <definedName name="Potência_Inversor">#REF!*#REF!</definedName>
    <definedName name="Potencia_modulo">(#REF!*#REF!)/1000</definedName>
    <definedName name="seccionadoraoff">IF(#REF!="SIM",#REF!,#REF!)</definedName>
    <definedName name="seccionadoraon">IF(#REF!="SIM",#REF!,#REF!)</definedName>
    <definedName name="tapaCC" comment="Quando verdadeiro tampa a string CC">IF(#REF!="Sim",#REF!,#REF!)</definedName>
    <definedName name="tapafio1">IF(#REF!=1,#REF!,branco)</definedName>
    <definedName name="tapafio10">IF(#REF!=1,#REF!,branco)</definedName>
    <definedName name="tapafio11">IF(#REF!=1,#REF!,branco)</definedName>
    <definedName name="tapafio12">IF(#REF!=1,#REF!,branco)</definedName>
    <definedName name="tapafio2">IF(#REF!=1,#REF!,branco)</definedName>
    <definedName name="tapafio3">IF(#REF!=1,#REF!,branco)</definedName>
    <definedName name="tapafio5" comment="tampa a conexão quando menos que 5 modulos">IF(#REF!=1,#REF!,branco)</definedName>
    <definedName name="tapafio6" comment="oculta a conexão dos fios quando menos que 6 modulos">IF(#REF!=1,#REF!,branco)</definedName>
    <definedName name="tapafio7">IF(#REF!=1,#REF!,branco)</definedName>
    <definedName name="tapafio8" comment="oculta a conexão dos fios quando menos que 6 modulos">IF(#REF!=1,#REF!,branco)</definedName>
    <definedName name="tapafio9">IF(#REF!=1,#REF!,branco)</definedName>
    <definedName name="terra">#REF!</definedName>
    <definedName name="TRI">'[1]banco de dados'!$D$6</definedName>
    <definedName name="trifasico">#REF!</definedName>
    <definedName name="tripa">'[1]banco de dados'!$H$6</definedName>
    <definedName name="umdois">#REF!</definedName>
    <definedName name="umum">#REF!</definedName>
    <definedName name="umumdois">#REF!</definedName>
    <definedName name="umumum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40" i="39" l="1"/>
  <c r="T39" i="39"/>
  <c r="T38" i="39"/>
  <c r="T37" i="39"/>
  <c r="T36" i="39"/>
  <c r="T35" i="39"/>
  <c r="T34" i="39"/>
  <c r="T33" i="39"/>
  <c r="T32" i="39"/>
  <c r="T31" i="39"/>
  <c r="T30" i="39"/>
  <c r="T29" i="39"/>
  <c r="T28" i="39"/>
  <c r="T27" i="39"/>
  <c r="T26" i="39"/>
  <c r="T25" i="39"/>
  <c r="T24" i="39"/>
  <c r="T23" i="39"/>
  <c r="T22" i="39"/>
  <c r="T21" i="39"/>
  <c r="T20" i="39"/>
  <c r="T19" i="39"/>
  <c r="T18" i="39"/>
  <c r="T17" i="39"/>
  <c r="T16" i="39"/>
  <c r="T15" i="39"/>
  <c r="T14" i="39"/>
  <c r="T13" i="39"/>
  <c r="T12" i="39"/>
  <c r="T11" i="39"/>
  <c r="T10" i="39"/>
  <c r="T9" i="39"/>
  <c r="T8" i="39"/>
  <c r="T7" i="39"/>
  <c r="T6" i="39"/>
  <c r="T5" i="39"/>
  <c r="T4" i="39"/>
  <c r="T3" i="39"/>
  <c r="T2" i="39"/>
  <c r="T1" i="39"/>
  <c r="F483" i="41"/>
  <c r="F481" i="41"/>
  <c r="F471" i="41"/>
  <c r="F469" i="41"/>
  <c r="F459" i="41"/>
  <c r="F457" i="41"/>
  <c r="F447" i="41"/>
  <c r="F445" i="41"/>
  <c r="F435" i="41"/>
  <c r="F433" i="41"/>
  <c r="F423" i="41"/>
  <c r="F421" i="41"/>
  <c r="F411" i="41"/>
  <c r="F409" i="41"/>
  <c r="F399" i="41"/>
  <c r="F397" i="41"/>
  <c r="F387" i="41"/>
  <c r="F385" i="41"/>
  <c r="F375" i="41"/>
  <c r="F373" i="41"/>
  <c r="F363" i="41"/>
  <c r="F361" i="41"/>
  <c r="F351" i="41"/>
  <c r="F349" i="41"/>
  <c r="F339" i="41"/>
  <c r="F337" i="41"/>
  <c r="F327" i="41"/>
  <c r="F325" i="41"/>
  <c r="F315" i="41"/>
  <c r="F313" i="41"/>
  <c r="F303" i="41"/>
  <c r="F301" i="41"/>
  <c r="F291" i="41"/>
  <c r="F289" i="41"/>
  <c r="F279" i="41"/>
  <c r="F277" i="41"/>
  <c r="F267" i="41"/>
  <c r="F265" i="41"/>
  <c r="F255" i="41"/>
  <c r="F253" i="41"/>
  <c r="F243" i="41"/>
  <c r="F241" i="41"/>
  <c r="F231" i="41"/>
  <c r="F229" i="41"/>
  <c r="F219" i="41"/>
  <c r="F217" i="41"/>
  <c r="F207" i="41"/>
  <c r="F205" i="41"/>
  <c r="F195" i="41"/>
  <c r="F193" i="41"/>
  <c r="F183" i="41"/>
  <c r="F181" i="41"/>
  <c r="F171" i="41"/>
  <c r="F169" i="41"/>
  <c r="F159" i="41"/>
  <c r="F157" i="41"/>
  <c r="F147" i="41"/>
  <c r="F145" i="41"/>
  <c r="F135" i="41"/>
  <c r="F133" i="41"/>
  <c r="F123" i="41"/>
  <c r="F121" i="41"/>
  <c r="F111" i="41"/>
  <c r="F109" i="41"/>
  <c r="F99" i="41"/>
  <c r="F97" i="41"/>
  <c r="F87" i="41"/>
  <c r="F85" i="41"/>
  <c r="F75" i="41"/>
  <c r="F73" i="41"/>
  <c r="F63" i="41"/>
  <c r="F61" i="41"/>
  <c r="F51" i="41"/>
  <c r="F49" i="41"/>
  <c r="F39" i="41"/>
  <c r="F37" i="41"/>
  <c r="F27" i="41"/>
  <c r="F25" i="41"/>
  <c r="F15" i="41"/>
  <c r="F13" i="41"/>
  <c r="F3" i="41"/>
  <c r="F1" i="41"/>
  <c r="S7" i="39"/>
  <c r="S8" i="39"/>
  <c r="S15" i="39"/>
  <c r="S16" i="39"/>
  <c r="S23" i="39"/>
  <c r="S24" i="39"/>
  <c r="S31" i="39"/>
  <c r="S32" i="39"/>
  <c r="S40" i="39"/>
  <c r="S4" i="39"/>
  <c r="S3" i="39"/>
  <c r="S2" i="39"/>
  <c r="W15" i="39" s="1"/>
  <c r="S1" i="39"/>
  <c r="W3" i="39" s="1"/>
  <c r="Q40" i="39"/>
  <c r="Q39" i="39"/>
  <c r="S39" i="39" s="1"/>
  <c r="Q8" i="39"/>
  <c r="Q12" i="39" s="1"/>
  <c r="Q16" i="39" s="1"/>
  <c r="Q20" i="39" s="1"/>
  <c r="Q24" i="39" s="1"/>
  <c r="Q28" i="39" s="1"/>
  <c r="Q32" i="39" s="1"/>
  <c r="Q36" i="39" s="1"/>
  <c r="S36" i="39" s="1"/>
  <c r="Q7" i="39"/>
  <c r="Q11" i="39" s="1"/>
  <c r="Q15" i="39" s="1"/>
  <c r="Q19" i="39" s="1"/>
  <c r="Q23" i="39" s="1"/>
  <c r="Q27" i="39" s="1"/>
  <c r="Q31" i="39" s="1"/>
  <c r="Q35" i="39" s="1"/>
  <c r="S35" i="39" s="1"/>
  <c r="Q6" i="39"/>
  <c r="Q10" i="39" s="1"/>
  <c r="Q14" i="39" s="1"/>
  <c r="Q18" i="39" s="1"/>
  <c r="Q22" i="39" s="1"/>
  <c r="Q26" i="39" s="1"/>
  <c r="Q30" i="39" s="1"/>
  <c r="Q34" i="39" s="1"/>
  <c r="Q38" i="39" s="1"/>
  <c r="S38" i="39" s="1"/>
  <c r="Q5" i="39"/>
  <c r="Q9" i="39" s="1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52" i="39"/>
  <c r="L2" i="39"/>
  <c r="K56" i="39"/>
  <c r="K55" i="39"/>
  <c r="K48" i="39"/>
  <c r="K47" i="39"/>
  <c r="J85" i="39"/>
  <c r="K85" i="39" s="1"/>
  <c r="J78" i="39"/>
  <c r="L78" i="39" s="1"/>
  <c r="J77" i="39"/>
  <c r="L77" i="39" s="1"/>
  <c r="J70" i="39"/>
  <c r="L70" i="39" s="1"/>
  <c r="J69" i="39"/>
  <c r="K69" i="39" s="1"/>
  <c r="J62" i="39"/>
  <c r="L62" i="39" s="1"/>
  <c r="J61" i="39"/>
  <c r="K61" i="39" s="1"/>
  <c r="J57" i="39"/>
  <c r="L57" i="39" s="1"/>
  <c r="J56" i="39"/>
  <c r="L56" i="39" s="1"/>
  <c r="J55" i="39"/>
  <c r="L55" i="39" s="1"/>
  <c r="J54" i="39"/>
  <c r="L54" i="39" s="1"/>
  <c r="J53" i="39"/>
  <c r="K53" i="39" s="1"/>
  <c r="J52" i="39"/>
  <c r="K52" i="39" s="1"/>
  <c r="J51" i="39"/>
  <c r="K51" i="39" s="1"/>
  <c r="J50" i="39"/>
  <c r="L50" i="39" s="1"/>
  <c r="J49" i="39"/>
  <c r="L49" i="39" s="1"/>
  <c r="J48" i="39"/>
  <c r="L48" i="39" s="1"/>
  <c r="J47" i="39"/>
  <c r="L47" i="39" s="1"/>
  <c r="J46" i="39"/>
  <c r="L46" i="39" s="1"/>
  <c r="J45" i="39"/>
  <c r="K45" i="39" s="1"/>
  <c r="J44" i="39"/>
  <c r="K44" i="39" s="1"/>
  <c r="I127" i="39"/>
  <c r="I141" i="39" s="1"/>
  <c r="I113" i="39"/>
  <c r="J113" i="39" s="1"/>
  <c r="I105" i="39"/>
  <c r="J105" i="39" s="1"/>
  <c r="I81" i="39"/>
  <c r="J81" i="39" s="1"/>
  <c r="I80" i="39"/>
  <c r="I94" i="39" s="1"/>
  <c r="J94" i="39" s="1"/>
  <c r="I76" i="39"/>
  <c r="I90" i="39" s="1"/>
  <c r="J90" i="39" s="1"/>
  <c r="I71" i="39"/>
  <c r="I85" i="39" s="1"/>
  <c r="I99" i="39" s="1"/>
  <c r="J99" i="39" s="1"/>
  <c r="I70" i="39"/>
  <c r="I84" i="39" s="1"/>
  <c r="I69" i="39"/>
  <c r="I83" i="39" s="1"/>
  <c r="I97" i="39" s="1"/>
  <c r="J97" i="39" s="1"/>
  <c r="I68" i="39"/>
  <c r="I82" i="39" s="1"/>
  <c r="I96" i="39" s="1"/>
  <c r="J96" i="39" s="1"/>
  <c r="I67" i="39"/>
  <c r="J67" i="39" s="1"/>
  <c r="I66" i="39"/>
  <c r="J66" i="39" s="1"/>
  <c r="I65" i="39"/>
  <c r="I79" i="39" s="1"/>
  <c r="I64" i="39"/>
  <c r="I78" i="39" s="1"/>
  <c r="I92" i="39" s="1"/>
  <c r="J92" i="39" s="1"/>
  <c r="I63" i="39"/>
  <c r="I77" i="39" s="1"/>
  <c r="I91" i="39" s="1"/>
  <c r="J91" i="39" s="1"/>
  <c r="I62" i="39"/>
  <c r="I61" i="39"/>
  <c r="I75" i="39" s="1"/>
  <c r="I89" i="39" s="1"/>
  <c r="I103" i="39" s="1"/>
  <c r="J103" i="39" s="1"/>
  <c r="I60" i="39"/>
  <c r="I74" i="39" s="1"/>
  <c r="I88" i="39" s="1"/>
  <c r="I102" i="39" s="1"/>
  <c r="I116" i="39" s="1"/>
  <c r="I59" i="39"/>
  <c r="J59" i="39" s="1"/>
  <c r="I58" i="39"/>
  <c r="J58" i="39" s="1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2" i="39"/>
  <c r="L58" i="39" l="1"/>
  <c r="K58" i="39"/>
  <c r="L66" i="39"/>
  <c r="K66" i="39"/>
  <c r="L81" i="39"/>
  <c r="K81" i="39"/>
  <c r="K99" i="39"/>
  <c r="L99" i="39"/>
  <c r="I93" i="39"/>
  <c r="J79" i="39"/>
  <c r="K59" i="39"/>
  <c r="L59" i="39"/>
  <c r="K67" i="39"/>
  <c r="L67" i="39"/>
  <c r="L105" i="39"/>
  <c r="K105" i="39"/>
  <c r="Q13" i="39"/>
  <c r="S9" i="39"/>
  <c r="K92" i="39"/>
  <c r="L92" i="39"/>
  <c r="J116" i="39"/>
  <c r="I130" i="39"/>
  <c r="L113" i="39"/>
  <c r="K113" i="39"/>
  <c r="L103" i="39"/>
  <c r="K103" i="39"/>
  <c r="I155" i="39"/>
  <c r="J141" i="39"/>
  <c r="K91" i="39"/>
  <c r="L91" i="39"/>
  <c r="L90" i="39"/>
  <c r="K90" i="39"/>
  <c r="L94" i="39"/>
  <c r="K94" i="39"/>
  <c r="L96" i="39"/>
  <c r="K96" i="39"/>
  <c r="L97" i="39"/>
  <c r="K97" i="39"/>
  <c r="I98" i="39"/>
  <c r="J84" i="39"/>
  <c r="L69" i="39"/>
  <c r="L45" i="39"/>
  <c r="I108" i="39"/>
  <c r="I117" i="39"/>
  <c r="J63" i="39"/>
  <c r="J71" i="39"/>
  <c r="J127" i="39"/>
  <c r="K49" i="39"/>
  <c r="K57" i="39"/>
  <c r="L51" i="39"/>
  <c r="S30" i="39"/>
  <c r="S22" i="39"/>
  <c r="S14" i="39"/>
  <c r="W1" i="39"/>
  <c r="L85" i="39"/>
  <c r="L53" i="39"/>
  <c r="J102" i="39"/>
  <c r="I110" i="39"/>
  <c r="J64" i="39"/>
  <c r="J80" i="39"/>
  <c r="J88" i="39"/>
  <c r="K50" i="39"/>
  <c r="I72" i="39"/>
  <c r="I95" i="39"/>
  <c r="I111" i="39"/>
  <c r="I119" i="39"/>
  <c r="J65" i="39"/>
  <c r="J89" i="39"/>
  <c r="S28" i="39"/>
  <c r="S20" i="39"/>
  <c r="S12" i="39"/>
  <c r="W13" i="39"/>
  <c r="I73" i="39"/>
  <c r="I104" i="39"/>
  <c r="J74" i="39"/>
  <c r="J82" i="39"/>
  <c r="S27" i="39"/>
  <c r="S19" i="39"/>
  <c r="S11" i="39"/>
  <c r="L61" i="39"/>
  <c r="J75" i="39"/>
  <c r="J83" i="39"/>
  <c r="K77" i="39"/>
  <c r="S5" i="39"/>
  <c r="S34" i="39"/>
  <c r="S26" i="39"/>
  <c r="S18" i="39"/>
  <c r="S10" i="39"/>
  <c r="I106" i="39"/>
  <c r="J60" i="39"/>
  <c r="J68" i="39"/>
  <c r="J76" i="39"/>
  <c r="K46" i="39"/>
  <c r="K54" i="39"/>
  <c r="K62" i="39"/>
  <c r="K70" i="39"/>
  <c r="K78" i="39"/>
  <c r="S6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L48" i="16"/>
  <c r="M48" i="16" s="1"/>
  <c r="Q63" i="16"/>
  <c r="G63" i="16"/>
  <c r="E63" i="16"/>
  <c r="Q48" i="16"/>
  <c r="G48" i="16"/>
  <c r="E48" i="16"/>
  <c r="C48" i="16"/>
  <c r="I48" i="16" s="1"/>
  <c r="C63" i="16"/>
  <c r="F63" i="16" s="1"/>
  <c r="L84" i="39" l="1"/>
  <c r="K84" i="39"/>
  <c r="I86" i="39"/>
  <c r="J72" i="39"/>
  <c r="L127" i="39"/>
  <c r="K127" i="39"/>
  <c r="J98" i="39"/>
  <c r="I112" i="39"/>
  <c r="J95" i="39"/>
  <c r="I109" i="39"/>
  <c r="L71" i="39"/>
  <c r="K71" i="39"/>
  <c r="L88" i="39"/>
  <c r="K88" i="39"/>
  <c r="W27" i="39"/>
  <c r="W25" i="39"/>
  <c r="L63" i="39"/>
  <c r="K63" i="39"/>
  <c r="K116" i="39"/>
  <c r="L116" i="39"/>
  <c r="K76" i="39"/>
  <c r="L76" i="39"/>
  <c r="L82" i="39"/>
  <c r="K82" i="39"/>
  <c r="L89" i="39"/>
  <c r="K89" i="39"/>
  <c r="L80" i="39"/>
  <c r="K80" i="39"/>
  <c r="I131" i="39"/>
  <c r="J117" i="39"/>
  <c r="K141" i="39"/>
  <c r="L141" i="39"/>
  <c r="J130" i="39"/>
  <c r="I144" i="39"/>
  <c r="K68" i="39"/>
  <c r="L68" i="39"/>
  <c r="L74" i="39"/>
  <c r="K74" i="39"/>
  <c r="L65" i="39"/>
  <c r="K65" i="39"/>
  <c r="K64" i="39"/>
  <c r="L64" i="39"/>
  <c r="J108" i="39"/>
  <c r="I122" i="39"/>
  <c r="J155" i="39"/>
  <c r="I169" i="39"/>
  <c r="J169" i="39" s="1"/>
  <c r="K60" i="39"/>
  <c r="L60" i="39"/>
  <c r="K83" i="39"/>
  <c r="L83" i="39"/>
  <c r="J104" i="39"/>
  <c r="I118" i="39"/>
  <c r="I133" i="39"/>
  <c r="J119" i="39"/>
  <c r="I124" i="39"/>
  <c r="J110" i="39"/>
  <c r="K79" i="39"/>
  <c r="L79" i="39"/>
  <c r="I120" i="39"/>
  <c r="J106" i="39"/>
  <c r="K75" i="39"/>
  <c r="L75" i="39"/>
  <c r="J73" i="39"/>
  <c r="I87" i="39"/>
  <c r="I125" i="39"/>
  <c r="J111" i="39"/>
  <c r="L102" i="39"/>
  <c r="K102" i="39"/>
  <c r="Q17" i="39"/>
  <c r="S13" i="39"/>
  <c r="I107" i="39"/>
  <c r="J93" i="39"/>
  <c r="N48" i="16"/>
  <c r="J48" i="16"/>
  <c r="F48" i="16"/>
  <c r="I63" i="16"/>
  <c r="J63" i="16"/>
  <c r="O48" i="16"/>
  <c r="P48" i="16"/>
  <c r="O63" i="16"/>
  <c r="P63" i="16"/>
  <c r="Q62" i="16"/>
  <c r="G62" i="16"/>
  <c r="E62" i="16"/>
  <c r="Q61" i="16"/>
  <c r="G61" i="16"/>
  <c r="E61" i="16"/>
  <c r="Q60" i="16"/>
  <c r="G60" i="16"/>
  <c r="E60" i="16"/>
  <c r="Q59" i="16"/>
  <c r="G59" i="16"/>
  <c r="E59" i="16"/>
  <c r="Q58" i="16"/>
  <c r="G58" i="16"/>
  <c r="E58" i="16"/>
  <c r="Q57" i="16"/>
  <c r="G57" i="16"/>
  <c r="E57" i="16"/>
  <c r="C62" i="16"/>
  <c r="P62" i="16" s="1"/>
  <c r="C61" i="16"/>
  <c r="P61" i="16" s="1"/>
  <c r="C60" i="16"/>
  <c r="P60" i="16" s="1"/>
  <c r="C59" i="16"/>
  <c r="P59" i="16" s="1"/>
  <c r="C58" i="16"/>
  <c r="P58" i="16" s="1"/>
  <c r="C57" i="16"/>
  <c r="I57" i="16" s="1"/>
  <c r="K93" i="39" l="1"/>
  <c r="L93" i="39"/>
  <c r="K119" i="39"/>
  <c r="L119" i="39"/>
  <c r="L169" i="39"/>
  <c r="K169" i="39"/>
  <c r="K117" i="39"/>
  <c r="L117" i="39"/>
  <c r="Q21" i="39"/>
  <c r="S17" i="39"/>
  <c r="I147" i="39"/>
  <c r="J133" i="39"/>
  <c r="K155" i="39"/>
  <c r="L155" i="39"/>
  <c r="J131" i="39"/>
  <c r="I145" i="39"/>
  <c r="L110" i="39"/>
  <c r="K110" i="39"/>
  <c r="L106" i="39"/>
  <c r="K106" i="39"/>
  <c r="I132" i="39"/>
  <c r="J118" i="39"/>
  <c r="J122" i="39"/>
  <c r="I136" i="39"/>
  <c r="L72" i="39"/>
  <c r="K72" i="39"/>
  <c r="J107" i="39"/>
  <c r="I121" i="39"/>
  <c r="L98" i="39"/>
  <c r="K98" i="39"/>
  <c r="I134" i="39"/>
  <c r="J120" i="39"/>
  <c r="K104" i="39"/>
  <c r="L104" i="39"/>
  <c r="L108" i="39"/>
  <c r="K108" i="39"/>
  <c r="I100" i="39"/>
  <c r="J86" i="39"/>
  <c r="I101" i="39"/>
  <c r="J87" i="39"/>
  <c r="L73" i="39"/>
  <c r="K73" i="39"/>
  <c r="L111" i="39"/>
  <c r="K111" i="39"/>
  <c r="I158" i="39"/>
  <c r="J158" i="39" s="1"/>
  <c r="J144" i="39"/>
  <c r="I123" i="39"/>
  <c r="J109" i="39"/>
  <c r="I126" i="39"/>
  <c r="J112" i="39"/>
  <c r="J124" i="39"/>
  <c r="I138" i="39"/>
  <c r="I139" i="39"/>
  <c r="J125" i="39"/>
  <c r="L130" i="39"/>
  <c r="K130" i="39"/>
  <c r="L95" i="39"/>
  <c r="K95" i="39"/>
  <c r="F61" i="16"/>
  <c r="F60" i="16"/>
  <c r="F62" i="16"/>
  <c r="J57" i="16"/>
  <c r="I58" i="16"/>
  <c r="I59" i="16"/>
  <c r="I60" i="16"/>
  <c r="I61" i="16"/>
  <c r="I62" i="16"/>
  <c r="F58" i="16"/>
  <c r="J58" i="16"/>
  <c r="J59" i="16"/>
  <c r="J60" i="16"/>
  <c r="J61" i="16"/>
  <c r="J62" i="16"/>
  <c r="F59" i="16"/>
  <c r="O57" i="16"/>
  <c r="O58" i="16"/>
  <c r="O59" i="16"/>
  <c r="O60" i="16"/>
  <c r="O61" i="16"/>
  <c r="O62" i="16"/>
  <c r="F57" i="16"/>
  <c r="P57" i="16"/>
  <c r="K109" i="39" l="1"/>
  <c r="L109" i="39"/>
  <c r="L120" i="39"/>
  <c r="K120" i="39"/>
  <c r="I150" i="39"/>
  <c r="J136" i="39"/>
  <c r="I159" i="39"/>
  <c r="J159" i="39" s="1"/>
  <c r="J145" i="39"/>
  <c r="J123" i="39"/>
  <c r="I137" i="39"/>
  <c r="J101" i="39"/>
  <c r="I115" i="39"/>
  <c r="J134" i="39"/>
  <c r="I148" i="39"/>
  <c r="L122" i="39"/>
  <c r="K122" i="39"/>
  <c r="K131" i="39"/>
  <c r="L131" i="39"/>
  <c r="J132" i="39"/>
  <c r="I146" i="39"/>
  <c r="L87" i="39"/>
  <c r="K87" i="39"/>
  <c r="L86" i="39"/>
  <c r="K86" i="39"/>
  <c r="L158" i="39"/>
  <c r="K158" i="39"/>
  <c r="J100" i="39"/>
  <c r="I114" i="39"/>
  <c r="I152" i="39"/>
  <c r="J138" i="39"/>
  <c r="J121" i="39"/>
  <c r="I135" i="39"/>
  <c r="K133" i="39"/>
  <c r="L133" i="39"/>
  <c r="J139" i="39"/>
  <c r="I153" i="39"/>
  <c r="K124" i="39"/>
  <c r="L124" i="39"/>
  <c r="K107" i="39"/>
  <c r="L107" i="39"/>
  <c r="J147" i="39"/>
  <c r="I161" i="39"/>
  <c r="J161" i="39" s="1"/>
  <c r="L125" i="39"/>
  <c r="K125" i="39"/>
  <c r="L118" i="39"/>
  <c r="K118" i="39"/>
  <c r="L112" i="39"/>
  <c r="K112" i="39"/>
  <c r="L144" i="39"/>
  <c r="K144" i="39"/>
  <c r="I140" i="39"/>
  <c r="J126" i="39"/>
  <c r="Q25" i="39"/>
  <c r="S21" i="39"/>
  <c r="H15" i="8"/>
  <c r="H18" i="8"/>
  <c r="H27" i="8"/>
  <c r="H17" i="8"/>
  <c r="H23" i="8"/>
  <c r="Q56" i="16"/>
  <c r="G56" i="16"/>
  <c r="E56" i="16"/>
  <c r="C56" i="16"/>
  <c r="P56" i="16" s="1"/>
  <c r="Q55" i="16"/>
  <c r="G55" i="16"/>
  <c r="E55" i="16"/>
  <c r="C55" i="16"/>
  <c r="P55" i="16" s="1"/>
  <c r="D54" i="8"/>
  <c r="L138" i="39" l="1"/>
  <c r="K138" i="39"/>
  <c r="J148" i="39"/>
  <c r="I162" i="39"/>
  <c r="J162" i="39" s="1"/>
  <c r="K136" i="39"/>
  <c r="L136" i="39"/>
  <c r="L159" i="39"/>
  <c r="K159" i="39"/>
  <c r="I166" i="39"/>
  <c r="J166" i="39" s="1"/>
  <c r="J152" i="39"/>
  <c r="L134" i="39"/>
  <c r="K134" i="39"/>
  <c r="I164" i="39"/>
  <c r="J164" i="39" s="1"/>
  <c r="J150" i="39"/>
  <c r="L121" i="39"/>
  <c r="K121" i="39"/>
  <c r="L126" i="39"/>
  <c r="K126" i="39"/>
  <c r="I167" i="39"/>
  <c r="J167" i="39" s="1"/>
  <c r="J153" i="39"/>
  <c r="I128" i="39"/>
  <c r="J114" i="39"/>
  <c r="I160" i="39"/>
  <c r="J160" i="39" s="1"/>
  <c r="J146" i="39"/>
  <c r="J115" i="39"/>
  <c r="I129" i="39"/>
  <c r="Q29" i="39"/>
  <c r="S25" i="39"/>
  <c r="J140" i="39"/>
  <c r="I154" i="39"/>
  <c r="K139" i="39"/>
  <c r="L139" i="39"/>
  <c r="K100" i="39"/>
  <c r="L100" i="39"/>
  <c r="L132" i="39"/>
  <c r="K132" i="39"/>
  <c r="K101" i="39"/>
  <c r="L101" i="39"/>
  <c r="L145" i="39"/>
  <c r="K145" i="39"/>
  <c r="L161" i="39"/>
  <c r="K161" i="39"/>
  <c r="I151" i="39"/>
  <c r="J137" i="39"/>
  <c r="I149" i="39"/>
  <c r="J135" i="39"/>
  <c r="K147" i="39"/>
  <c r="L147" i="39"/>
  <c r="K123" i="39"/>
  <c r="L123" i="39"/>
  <c r="I56" i="16"/>
  <c r="J56" i="16"/>
  <c r="O56" i="16"/>
  <c r="O55" i="16"/>
  <c r="I55" i="16"/>
  <c r="J55" i="16"/>
  <c r="F56" i="16"/>
  <c r="F55" i="16"/>
  <c r="D53" i="8"/>
  <c r="D52" i="8"/>
  <c r="D51" i="8"/>
  <c r="H38" i="8"/>
  <c r="I38" i="8" s="1"/>
  <c r="H36" i="8"/>
  <c r="H42" i="8"/>
  <c r="I42" i="8" s="1"/>
  <c r="I10" i="8"/>
  <c r="K160" i="39" l="1"/>
  <c r="L160" i="39"/>
  <c r="L146" i="39"/>
  <c r="K146" i="39"/>
  <c r="L135" i="39"/>
  <c r="K135" i="39"/>
  <c r="L114" i="39"/>
  <c r="K114" i="39"/>
  <c r="I168" i="39"/>
  <c r="J168" i="39" s="1"/>
  <c r="J154" i="39"/>
  <c r="L150" i="39"/>
  <c r="K150" i="39"/>
  <c r="I163" i="39"/>
  <c r="J163" i="39" s="1"/>
  <c r="J149" i="39"/>
  <c r="K140" i="39"/>
  <c r="L140" i="39"/>
  <c r="J128" i="39"/>
  <c r="I142" i="39"/>
  <c r="K164" i="39"/>
  <c r="L164" i="39"/>
  <c r="L137" i="39"/>
  <c r="K137" i="39"/>
  <c r="L153" i="39"/>
  <c r="K153" i="39"/>
  <c r="L162" i="39"/>
  <c r="K162" i="39"/>
  <c r="I165" i="39"/>
  <c r="J165" i="39" s="1"/>
  <c r="J151" i="39"/>
  <c r="Q33" i="39"/>
  <c r="S29" i="39"/>
  <c r="K167" i="39"/>
  <c r="L167" i="39"/>
  <c r="K148" i="39"/>
  <c r="L148" i="39"/>
  <c r="J129" i="39"/>
  <c r="I143" i="39"/>
  <c r="L152" i="39"/>
  <c r="K152" i="39"/>
  <c r="K115" i="39"/>
  <c r="L115" i="39"/>
  <c r="L166" i="39"/>
  <c r="K166" i="39"/>
  <c r="Q54" i="16"/>
  <c r="G54" i="16"/>
  <c r="E54" i="16"/>
  <c r="C54" i="16"/>
  <c r="O54" i="16" s="1"/>
  <c r="Q53" i="16"/>
  <c r="G53" i="16"/>
  <c r="E53" i="16"/>
  <c r="C53" i="16"/>
  <c r="J53" i="16" s="1"/>
  <c r="Q52" i="16"/>
  <c r="G52" i="16"/>
  <c r="E52" i="16"/>
  <c r="C52" i="16"/>
  <c r="O52" i="16" s="1"/>
  <c r="Q51" i="16"/>
  <c r="G51" i="16"/>
  <c r="E51" i="16"/>
  <c r="C51" i="16"/>
  <c r="J51" i="16" s="1"/>
  <c r="Q50" i="16"/>
  <c r="G50" i="16"/>
  <c r="E50" i="16"/>
  <c r="C50" i="16"/>
  <c r="O50" i="16" s="1"/>
  <c r="Q49" i="16"/>
  <c r="L49" i="16"/>
  <c r="M49" i="16" s="1"/>
  <c r="G49" i="16"/>
  <c r="E49" i="16"/>
  <c r="C49" i="16"/>
  <c r="J49" i="16" s="1"/>
  <c r="Q47" i="16"/>
  <c r="P47" i="16"/>
  <c r="O47" i="16"/>
  <c r="N47" i="16"/>
  <c r="M47" i="16"/>
  <c r="N46" i="16"/>
  <c r="M46" i="16"/>
  <c r="K46" i="16"/>
  <c r="G46" i="16"/>
  <c r="E46" i="16"/>
  <c r="C46" i="16"/>
  <c r="I46" i="16" s="1"/>
  <c r="Q45" i="16"/>
  <c r="N45" i="16"/>
  <c r="M45" i="16"/>
  <c r="K45" i="16"/>
  <c r="G45" i="16"/>
  <c r="E45" i="16"/>
  <c r="C45" i="16"/>
  <c r="I45" i="16" s="1"/>
  <c r="N44" i="16"/>
  <c r="M44" i="16"/>
  <c r="K44" i="16"/>
  <c r="G44" i="16"/>
  <c r="E44" i="16"/>
  <c r="C44" i="16"/>
  <c r="J44" i="16" s="1"/>
  <c r="N43" i="16"/>
  <c r="M43" i="16"/>
  <c r="K43" i="16"/>
  <c r="G43" i="16"/>
  <c r="E43" i="16"/>
  <c r="C43" i="16"/>
  <c r="J43" i="16" s="1"/>
  <c r="G42" i="16"/>
  <c r="E42" i="16"/>
  <c r="C42" i="16"/>
  <c r="P42" i="16" s="1"/>
  <c r="G41" i="16"/>
  <c r="E41" i="16"/>
  <c r="C41" i="16"/>
  <c r="O41" i="16" s="1"/>
  <c r="G40" i="16"/>
  <c r="E40" i="16"/>
  <c r="C40" i="16"/>
  <c r="O40" i="16" s="1"/>
  <c r="K39" i="16"/>
  <c r="G39" i="16"/>
  <c r="E39" i="16"/>
  <c r="C39" i="16"/>
  <c r="F39" i="16" s="1"/>
  <c r="K38" i="16"/>
  <c r="G38" i="16"/>
  <c r="E38" i="16"/>
  <c r="C38" i="16"/>
  <c r="I38" i="16" s="1"/>
  <c r="Q37" i="16"/>
  <c r="G37" i="16"/>
  <c r="E37" i="16"/>
  <c r="C37" i="16"/>
  <c r="I37" i="16" s="1"/>
  <c r="Q36" i="16"/>
  <c r="G36" i="16"/>
  <c r="E36" i="16"/>
  <c r="C36" i="16"/>
  <c r="I36" i="16" s="1"/>
  <c r="Q35" i="16"/>
  <c r="G35" i="16"/>
  <c r="E35" i="16"/>
  <c r="C35" i="16"/>
  <c r="J35" i="16" s="1"/>
  <c r="Q34" i="16"/>
  <c r="G34" i="16"/>
  <c r="E34" i="16"/>
  <c r="C34" i="16"/>
  <c r="I34" i="16" s="1"/>
  <c r="Q33" i="16"/>
  <c r="G33" i="16"/>
  <c r="E33" i="16"/>
  <c r="C33" i="16"/>
  <c r="O33" i="16" s="1"/>
  <c r="Q32" i="16"/>
  <c r="G32" i="16"/>
  <c r="E32" i="16"/>
  <c r="C32" i="16"/>
  <c r="I32" i="16" s="1"/>
  <c r="Q31" i="16"/>
  <c r="G31" i="16"/>
  <c r="E31" i="16"/>
  <c r="C31" i="16"/>
  <c r="P31" i="16" s="1"/>
  <c r="Q30" i="16"/>
  <c r="L30" i="16"/>
  <c r="L31" i="16" s="1"/>
  <c r="G30" i="16"/>
  <c r="E30" i="16"/>
  <c r="C30" i="16"/>
  <c r="I30" i="16" s="1"/>
  <c r="Q29" i="16"/>
  <c r="N29" i="16"/>
  <c r="M29" i="16"/>
  <c r="G29" i="16"/>
  <c r="E29" i="16"/>
  <c r="C29" i="16"/>
  <c r="J29" i="16" s="1"/>
  <c r="G28" i="16"/>
  <c r="E28" i="16"/>
  <c r="C28" i="16"/>
  <c r="P28" i="16" s="1"/>
  <c r="G27" i="16"/>
  <c r="E27" i="16"/>
  <c r="C27" i="16"/>
  <c r="P27" i="16" s="1"/>
  <c r="G26" i="16"/>
  <c r="E26" i="16"/>
  <c r="C26" i="16"/>
  <c r="P26" i="16" s="1"/>
  <c r="K25" i="16"/>
  <c r="G25" i="16"/>
  <c r="E25" i="16"/>
  <c r="C25" i="16"/>
  <c r="J25" i="16" s="1"/>
  <c r="K24" i="16"/>
  <c r="G24" i="16"/>
  <c r="E24" i="16"/>
  <c r="C24" i="16"/>
  <c r="J24" i="16" s="1"/>
  <c r="K23" i="16"/>
  <c r="G23" i="16"/>
  <c r="E23" i="16"/>
  <c r="C23" i="16"/>
  <c r="J23" i="16" s="1"/>
  <c r="K22" i="16"/>
  <c r="G22" i="16"/>
  <c r="E22" i="16"/>
  <c r="C22" i="16"/>
  <c r="J22" i="16" s="1"/>
  <c r="K21" i="16"/>
  <c r="G21" i="16"/>
  <c r="E21" i="16"/>
  <c r="C21" i="16"/>
  <c r="J21" i="16" s="1"/>
  <c r="K20" i="16"/>
  <c r="G20" i="16"/>
  <c r="E20" i="16"/>
  <c r="C20" i="16"/>
  <c r="J20" i="16" s="1"/>
  <c r="K19" i="16"/>
  <c r="G19" i="16"/>
  <c r="E19" i="16"/>
  <c r="C19" i="16"/>
  <c r="J19" i="16" s="1"/>
  <c r="K18" i="16"/>
  <c r="G18" i="16"/>
  <c r="E18" i="16"/>
  <c r="C18" i="16"/>
  <c r="J18" i="16" s="1"/>
  <c r="K17" i="16"/>
  <c r="G17" i="16"/>
  <c r="E17" i="16"/>
  <c r="C17" i="16"/>
  <c r="J17" i="16" s="1"/>
  <c r="K16" i="16"/>
  <c r="G16" i="16"/>
  <c r="E16" i="16"/>
  <c r="C16" i="16"/>
  <c r="J16" i="16" s="1"/>
  <c r="K15" i="16"/>
  <c r="G15" i="16"/>
  <c r="E15" i="16"/>
  <c r="C15" i="16"/>
  <c r="J15" i="16" s="1"/>
  <c r="K14" i="16"/>
  <c r="G14" i="16"/>
  <c r="E14" i="16"/>
  <c r="C14" i="16"/>
  <c r="J14" i="16" s="1"/>
  <c r="Q13" i="16"/>
  <c r="G13" i="16"/>
  <c r="E13" i="16"/>
  <c r="C13" i="16"/>
  <c r="O13" i="16" s="1"/>
  <c r="Q12" i="16"/>
  <c r="G12" i="16"/>
  <c r="E12" i="16"/>
  <c r="C12" i="16"/>
  <c r="J12" i="16" s="1"/>
  <c r="G11" i="16"/>
  <c r="E11" i="16"/>
  <c r="C11" i="16"/>
  <c r="I11" i="16" s="1"/>
  <c r="Q10" i="16"/>
  <c r="G10" i="16"/>
  <c r="E10" i="16"/>
  <c r="C10" i="16"/>
  <c r="I10" i="16" s="1"/>
  <c r="Q9" i="16"/>
  <c r="G9" i="16"/>
  <c r="E9" i="16"/>
  <c r="C9" i="16"/>
  <c r="I9" i="16" s="1"/>
  <c r="Q8" i="16"/>
  <c r="G8" i="16"/>
  <c r="E8" i="16"/>
  <c r="C8" i="16"/>
  <c r="P8" i="16" s="1"/>
  <c r="Q7" i="16"/>
  <c r="G7" i="16"/>
  <c r="E7" i="16"/>
  <c r="C7" i="16"/>
  <c r="I7" i="16" s="1"/>
  <c r="Q6" i="16"/>
  <c r="G6" i="16"/>
  <c r="E6" i="16"/>
  <c r="C6" i="16"/>
  <c r="P6" i="16" s="1"/>
  <c r="Q5" i="16"/>
  <c r="G5" i="16"/>
  <c r="E5" i="16"/>
  <c r="C5" i="16"/>
  <c r="I5" i="16" s="1"/>
  <c r="Q4" i="16"/>
  <c r="G4" i="16"/>
  <c r="E4" i="16"/>
  <c r="C4" i="16"/>
  <c r="F4" i="16" s="1"/>
  <c r="Q3" i="16"/>
  <c r="L3" i="16"/>
  <c r="N3" i="16" s="1"/>
  <c r="G3" i="16"/>
  <c r="E3" i="16"/>
  <c r="C3" i="16"/>
  <c r="I3" i="16" s="1"/>
  <c r="Q2" i="16"/>
  <c r="N2" i="16"/>
  <c r="M2" i="16"/>
  <c r="G2" i="16"/>
  <c r="E2" i="16"/>
  <c r="C2" i="16"/>
  <c r="F2" i="16" s="1"/>
  <c r="E157" i="8"/>
  <c r="E156" i="8"/>
  <c r="E155" i="8"/>
  <c r="E154" i="8"/>
  <c r="E153" i="8"/>
  <c r="E152" i="8"/>
  <c r="E151" i="8"/>
  <c r="E150" i="8"/>
  <c r="E149" i="8"/>
  <c r="E148" i="8"/>
  <c r="E147" i="8"/>
  <c r="E146" i="8"/>
  <c r="E142" i="8"/>
  <c r="E141" i="8"/>
  <c r="E140" i="8"/>
  <c r="E139" i="8"/>
  <c r="E138" i="8"/>
  <c r="E137" i="8"/>
  <c r="E136" i="8"/>
  <c r="H54" i="8"/>
  <c r="H53" i="8"/>
  <c r="H52" i="8"/>
  <c r="H51" i="8"/>
  <c r="C48" i="8"/>
  <c r="H46" i="8"/>
  <c r="I46" i="8" s="1"/>
  <c r="H40" i="8"/>
  <c r="H41" i="8" s="1"/>
  <c r="I41" i="8" s="1"/>
  <c r="H39" i="8"/>
  <c r="I40" i="8" s="1"/>
  <c r="H37" i="8"/>
  <c r="I37" i="8" s="1"/>
  <c r="I36" i="8"/>
  <c r="H35" i="8"/>
  <c r="I35" i="8" s="1"/>
  <c r="H30" i="8"/>
  <c r="H31" i="8" s="1"/>
  <c r="I31" i="8" s="1"/>
  <c r="I27" i="8"/>
  <c r="H26" i="8"/>
  <c r="I26" i="8" s="1"/>
  <c r="H25" i="8"/>
  <c r="H24" i="8"/>
  <c r="I23" i="8"/>
  <c r="H21" i="8"/>
  <c r="I21" i="8" s="1"/>
  <c r="H19" i="8"/>
  <c r="I18" i="8" s="1"/>
  <c r="H16" i="8"/>
  <c r="H14" i="8"/>
  <c r="H12" i="8"/>
  <c r="I12" i="8" s="1"/>
  <c r="H11" i="8"/>
  <c r="I11" i="8" s="1"/>
  <c r="H8" i="8"/>
  <c r="H7" i="8"/>
  <c r="H6" i="8"/>
  <c r="H5" i="8"/>
  <c r="H4" i="8"/>
  <c r="H2" i="8"/>
  <c r="I2" i="8" s="1"/>
  <c r="K149" i="39" l="1"/>
  <c r="L149" i="39"/>
  <c r="Q37" i="39"/>
  <c r="S37" i="39" s="1"/>
  <c r="S33" i="39"/>
  <c r="K163" i="39"/>
  <c r="L163" i="39"/>
  <c r="I157" i="39"/>
  <c r="J157" i="39" s="1"/>
  <c r="J143" i="39"/>
  <c r="L151" i="39"/>
  <c r="K151" i="39"/>
  <c r="L129" i="39"/>
  <c r="K129" i="39"/>
  <c r="K165" i="39"/>
  <c r="L165" i="39"/>
  <c r="I156" i="39"/>
  <c r="J156" i="39" s="1"/>
  <c r="J142" i="39"/>
  <c r="L154" i="39"/>
  <c r="K154" i="39"/>
  <c r="L128" i="39"/>
  <c r="K128" i="39"/>
  <c r="K168" i="39"/>
  <c r="L168" i="39"/>
  <c r="F10" i="16"/>
  <c r="I15" i="16"/>
  <c r="I33" i="16"/>
  <c r="O42" i="16"/>
  <c r="P3" i="16"/>
  <c r="F9" i="16"/>
  <c r="P33" i="16"/>
  <c r="O9" i="16"/>
  <c r="I39" i="16"/>
  <c r="F32" i="16"/>
  <c r="F8" i="16"/>
  <c r="F42" i="16"/>
  <c r="P21" i="16"/>
  <c r="I23" i="16"/>
  <c r="J38" i="16"/>
  <c r="F46" i="16"/>
  <c r="J45" i="16"/>
  <c r="F6" i="16"/>
  <c r="O15" i="16"/>
  <c r="F30" i="16"/>
  <c r="J32" i="16"/>
  <c r="O39" i="16"/>
  <c r="J46" i="16"/>
  <c r="F52" i="16"/>
  <c r="F7" i="16"/>
  <c r="F11" i="16"/>
  <c r="P15" i="16"/>
  <c r="O23" i="16"/>
  <c r="F27" i="16"/>
  <c r="I29" i="16"/>
  <c r="F31" i="16"/>
  <c r="J37" i="16"/>
  <c r="O38" i="16"/>
  <c r="J5" i="16"/>
  <c r="I6" i="16"/>
  <c r="P17" i="16"/>
  <c r="I19" i="16"/>
  <c r="P23" i="16"/>
  <c r="J30" i="16"/>
  <c r="P37" i="16"/>
  <c r="P38" i="16"/>
  <c r="I52" i="16"/>
  <c r="O5" i="16"/>
  <c r="J6" i="16"/>
  <c r="J11" i="16"/>
  <c r="P25" i="16"/>
  <c r="O44" i="16"/>
  <c r="P52" i="16"/>
  <c r="F54" i="16"/>
  <c r="P5" i="16"/>
  <c r="O6" i="16"/>
  <c r="J10" i="16"/>
  <c r="O11" i="16"/>
  <c r="O19" i="16"/>
  <c r="P29" i="16"/>
  <c r="O30" i="16"/>
  <c r="F33" i="16"/>
  <c r="O36" i="16"/>
  <c r="P40" i="16"/>
  <c r="O43" i="16"/>
  <c r="P46" i="16"/>
  <c r="I4" i="16"/>
  <c r="J9" i="16"/>
  <c r="O10" i="16"/>
  <c r="P11" i="16"/>
  <c r="I13" i="16"/>
  <c r="P19" i="16"/>
  <c r="F23" i="16"/>
  <c r="P30" i="16"/>
  <c r="P34" i="16"/>
  <c r="O35" i="16"/>
  <c r="P50" i="16"/>
  <c r="O3" i="16"/>
  <c r="J4" i="16"/>
  <c r="F5" i="16"/>
  <c r="P13" i="16"/>
  <c r="F15" i="16"/>
  <c r="O17" i="16"/>
  <c r="F19" i="16"/>
  <c r="O21" i="16"/>
  <c r="O25" i="16"/>
  <c r="P35" i="16"/>
  <c r="P36" i="16"/>
  <c r="O37" i="16"/>
  <c r="J39" i="16"/>
  <c r="N49" i="16"/>
  <c r="J7" i="16"/>
  <c r="I8" i="16"/>
  <c r="F28" i="16"/>
  <c r="I31" i="16"/>
  <c r="F34" i="16"/>
  <c r="F35" i="16"/>
  <c r="P39" i="16"/>
  <c r="O45" i="16"/>
  <c r="F3" i="16"/>
  <c r="P4" i="16"/>
  <c r="O7" i="16"/>
  <c r="J8" i="16"/>
  <c r="F17" i="16"/>
  <c r="F21" i="16"/>
  <c r="F25" i="16"/>
  <c r="J31" i="16"/>
  <c r="F36" i="16"/>
  <c r="F37" i="16"/>
  <c r="P41" i="16"/>
  <c r="P45" i="16"/>
  <c r="F50" i="16"/>
  <c r="I54" i="16"/>
  <c r="O4" i="16"/>
  <c r="P7" i="16"/>
  <c r="O8" i="16"/>
  <c r="F13" i="16"/>
  <c r="O28" i="16"/>
  <c r="O31" i="16"/>
  <c r="O32" i="16"/>
  <c r="J33" i="16"/>
  <c r="J34" i="16"/>
  <c r="I35" i="16"/>
  <c r="F38" i="16"/>
  <c r="F45" i="16"/>
  <c r="P54" i="16"/>
  <c r="L4" i="16"/>
  <c r="N4" i="16" s="1"/>
  <c r="I2" i="16"/>
  <c r="J2" i="16"/>
  <c r="J3" i="16"/>
  <c r="P9" i="16"/>
  <c r="P10" i="16"/>
  <c r="I17" i="16"/>
  <c r="I21" i="16"/>
  <c r="I25" i="16"/>
  <c r="P32" i="16"/>
  <c r="O34" i="16"/>
  <c r="J36" i="16"/>
  <c r="F40" i="16"/>
  <c r="I43" i="16"/>
  <c r="I44" i="16"/>
  <c r="O46" i="16"/>
  <c r="I50" i="16"/>
  <c r="L32" i="16"/>
  <c r="M31" i="16"/>
  <c r="N31" i="16"/>
  <c r="O12" i="16"/>
  <c r="J13" i="16"/>
  <c r="F43" i="16"/>
  <c r="P43" i="16"/>
  <c r="O49" i="16"/>
  <c r="J50" i="16"/>
  <c r="O51" i="16"/>
  <c r="J52" i="16"/>
  <c r="O53" i="16"/>
  <c r="J54" i="16"/>
  <c r="F12" i="16"/>
  <c r="P12" i="16"/>
  <c r="F14" i="16"/>
  <c r="O14" i="16"/>
  <c r="F16" i="16"/>
  <c r="O16" i="16"/>
  <c r="F18" i="16"/>
  <c r="O18" i="16"/>
  <c r="F20" i="16"/>
  <c r="O20" i="16"/>
  <c r="F22" i="16"/>
  <c r="O22" i="16"/>
  <c r="F24" i="16"/>
  <c r="O24" i="16"/>
  <c r="F26" i="16"/>
  <c r="O27" i="16"/>
  <c r="O29" i="16"/>
  <c r="F49" i="16"/>
  <c r="P49" i="16"/>
  <c r="L50" i="16"/>
  <c r="F51" i="16"/>
  <c r="P51" i="16"/>
  <c r="F53" i="16"/>
  <c r="P53" i="16"/>
  <c r="O2" i="16"/>
  <c r="P18" i="16"/>
  <c r="P20" i="16"/>
  <c r="P2" i="16"/>
  <c r="P14" i="16"/>
  <c r="P16" i="16"/>
  <c r="M3" i="16"/>
  <c r="I14" i="16"/>
  <c r="I16" i="16"/>
  <c r="I18" i="16"/>
  <c r="I20" i="16"/>
  <c r="I22" i="16"/>
  <c r="I24" i="16"/>
  <c r="O26" i="16"/>
  <c r="F29" i="16"/>
  <c r="M30" i="16"/>
  <c r="F44" i="16"/>
  <c r="P44" i="16"/>
  <c r="I49" i="16"/>
  <c r="I51" i="16"/>
  <c r="I53" i="16"/>
  <c r="P22" i="16"/>
  <c r="P24" i="16"/>
  <c r="I12" i="16"/>
  <c r="N30" i="16"/>
  <c r="F41" i="16"/>
  <c r="H32" i="8"/>
  <c r="I32" i="8" s="1"/>
  <c r="I6" i="8"/>
  <c r="H33" i="8"/>
  <c r="I33" i="8" s="1"/>
  <c r="I30" i="8"/>
  <c r="I25" i="8"/>
  <c r="I8" i="8"/>
  <c r="I14" i="8"/>
  <c r="K143" i="39" l="1"/>
  <c r="L143" i="39"/>
  <c r="K156" i="39"/>
  <c r="L156" i="39"/>
  <c r="K157" i="39"/>
  <c r="L157" i="39"/>
  <c r="L142" i="39"/>
  <c r="K142" i="39"/>
  <c r="L5" i="16"/>
  <c r="M4" i="16"/>
  <c r="L51" i="16"/>
  <c r="N50" i="16"/>
  <c r="M50" i="16"/>
  <c r="L33" i="16"/>
  <c r="N32" i="16"/>
  <c r="M32" i="16"/>
  <c r="L6" i="16" l="1"/>
  <c r="N5" i="16"/>
  <c r="M5" i="16"/>
  <c r="M33" i="16"/>
  <c r="L34" i="16"/>
  <c r="N33" i="16"/>
  <c r="M51" i="16"/>
  <c r="L52" i="16"/>
  <c r="N51" i="16"/>
  <c r="N6" i="16" l="1"/>
  <c r="M6" i="16"/>
  <c r="L7" i="16"/>
  <c r="L53" i="16"/>
  <c r="N52" i="16"/>
  <c r="M52" i="16"/>
  <c r="L35" i="16"/>
  <c r="N34" i="16"/>
  <c r="M34" i="16"/>
  <c r="L8" i="16" l="1"/>
  <c r="N7" i="16"/>
  <c r="M7" i="16"/>
  <c r="M53" i="16"/>
  <c r="L54" i="16"/>
  <c r="L55" i="16" s="1"/>
  <c r="N53" i="16"/>
  <c r="L36" i="16"/>
  <c r="M35" i="16"/>
  <c r="N35" i="16"/>
  <c r="L56" i="16" l="1"/>
  <c r="L57" i="16" s="1"/>
  <c r="N55" i="16"/>
  <c r="M55" i="16"/>
  <c r="L9" i="16"/>
  <c r="M8" i="16"/>
  <c r="N8" i="16"/>
  <c r="L37" i="16"/>
  <c r="N36" i="16"/>
  <c r="M36" i="16"/>
  <c r="N54" i="16"/>
  <c r="M54" i="16"/>
  <c r="L58" i="16" l="1"/>
  <c r="N57" i="16"/>
  <c r="M57" i="16"/>
  <c r="N56" i="16"/>
  <c r="M56" i="16"/>
  <c r="L10" i="16"/>
  <c r="M9" i="16"/>
  <c r="N9" i="16"/>
  <c r="M37" i="16"/>
  <c r="L38" i="16"/>
  <c r="N37" i="16"/>
  <c r="L59" i="16" l="1"/>
  <c r="N58" i="16"/>
  <c r="M58" i="16"/>
  <c r="M10" i="16"/>
  <c r="L11" i="16"/>
  <c r="N10" i="16"/>
  <c r="N38" i="16"/>
  <c r="M38" i="16"/>
  <c r="L39" i="16"/>
  <c r="M59" i="16" l="1"/>
  <c r="L60" i="16"/>
  <c r="N59" i="16"/>
  <c r="L12" i="16"/>
  <c r="M11" i="16"/>
  <c r="N11" i="16"/>
  <c r="N39" i="16"/>
  <c r="M39" i="16"/>
  <c r="N60" i="16" l="1"/>
  <c r="M60" i="16"/>
  <c r="L61" i="16"/>
  <c r="M12" i="16"/>
  <c r="L13" i="16"/>
  <c r="N12" i="16"/>
  <c r="N61" i="16" l="1"/>
  <c r="M61" i="16"/>
  <c r="L62" i="16"/>
  <c r="L63" i="16" s="1"/>
  <c r="L14" i="16"/>
  <c r="M13" i="16"/>
  <c r="N13" i="16"/>
  <c r="N63" i="16" l="1"/>
  <c r="M63" i="16"/>
  <c r="N62" i="16"/>
  <c r="M62" i="16"/>
  <c r="M14" i="16"/>
  <c r="L15" i="16"/>
  <c r="N14" i="16"/>
  <c r="M15" i="16" l="1"/>
  <c r="L16" i="16"/>
  <c r="N15" i="16"/>
  <c r="L17" i="16" l="1"/>
  <c r="N16" i="16"/>
  <c r="M16" i="16"/>
  <c r="L18" i="16" l="1"/>
  <c r="N17" i="16"/>
  <c r="M17" i="16"/>
  <c r="L19" i="16" l="1"/>
  <c r="M18" i="16"/>
  <c r="N18" i="16"/>
  <c r="N19" i="16" l="1"/>
  <c r="L20" i="16"/>
  <c r="M19" i="16"/>
  <c r="L21" i="16" l="1"/>
  <c r="N20" i="16"/>
  <c r="M20" i="16"/>
  <c r="L22" i="16" l="1"/>
  <c r="N21" i="16"/>
  <c r="M21" i="16"/>
  <c r="L23" i="16" l="1"/>
  <c r="M22" i="16"/>
  <c r="N22" i="16"/>
  <c r="L24" i="16" l="1"/>
  <c r="M23" i="16"/>
  <c r="N23" i="16"/>
  <c r="M24" i="16" l="1"/>
  <c r="N24" i="16"/>
  <c r="L25" i="16"/>
  <c r="N25" i="16" l="1"/>
  <c r="M25" i="16"/>
</calcChain>
</file>

<file path=xl/sharedStrings.xml><?xml version="1.0" encoding="utf-8"?>
<sst xmlns="http://schemas.openxmlformats.org/spreadsheetml/2006/main" count="1190" uniqueCount="446">
  <si>
    <t>Polos</t>
  </si>
  <si>
    <t>1P</t>
  </si>
  <si>
    <t>2P</t>
  </si>
  <si>
    <t>3P</t>
  </si>
  <si>
    <t>Chave seccionadora</t>
  </si>
  <si>
    <t>DPS</t>
  </si>
  <si>
    <t>Quantidade</t>
  </si>
  <si>
    <t>Disjuntor</t>
  </si>
  <si>
    <t>Fase</t>
  </si>
  <si>
    <t>Neutro</t>
  </si>
  <si>
    <t>Poste</t>
  </si>
  <si>
    <t>String box CA</t>
  </si>
  <si>
    <t>CABO</t>
  </si>
  <si>
    <t>Tensão (V)</t>
  </si>
  <si>
    <t>Corrente (A)</t>
  </si>
  <si>
    <t>Nome</t>
  </si>
  <si>
    <t>Rua</t>
  </si>
  <si>
    <t>Numero</t>
  </si>
  <si>
    <t>Bairro</t>
  </si>
  <si>
    <t>Cidade</t>
  </si>
  <si>
    <t>Estado</t>
  </si>
  <si>
    <t>CEP</t>
  </si>
  <si>
    <t>Projetista</t>
  </si>
  <si>
    <t xml:space="preserve">Marca </t>
  </si>
  <si>
    <t>Mordelo</t>
  </si>
  <si>
    <t>Inversor</t>
  </si>
  <si>
    <t>Módulo</t>
  </si>
  <si>
    <t>String box CC</t>
  </si>
  <si>
    <t xml:space="preserve">Nome </t>
  </si>
  <si>
    <t xml:space="preserve">Endereço </t>
  </si>
  <si>
    <t>Municipio</t>
  </si>
  <si>
    <t>Sergio dos Santos Marques</t>
  </si>
  <si>
    <t>Jobson Roberto Feitosa da Silva</t>
  </si>
  <si>
    <t>Rafael Araujo da Silva</t>
  </si>
  <si>
    <t>Danilo Soares Costa</t>
  </si>
  <si>
    <t>Maikel Lopez Labanino</t>
  </si>
  <si>
    <t>tipo de cabo da string  CA</t>
  </si>
  <si>
    <t>bitola da string CA</t>
  </si>
  <si>
    <t>Monopolar</t>
  </si>
  <si>
    <t>Bipolar</t>
  </si>
  <si>
    <t>Tripolar</t>
  </si>
  <si>
    <t>Bifasico</t>
  </si>
  <si>
    <t>Trifásico</t>
  </si>
  <si>
    <t>Monofásico</t>
  </si>
  <si>
    <t>disjuntor</t>
  </si>
  <si>
    <t>bitolas</t>
  </si>
  <si>
    <t>PVC 70º</t>
  </si>
  <si>
    <t>EPR/XLPE 90º</t>
  </si>
  <si>
    <t>Campinas / SP</t>
  </si>
  <si>
    <t>Goiânia / GO</t>
  </si>
  <si>
    <t>13060-624</t>
  </si>
  <si>
    <t>74330-200</t>
  </si>
  <si>
    <t>Avenida Inglaterra, 454, QD.117, Lote 1, Jardim Europa</t>
  </si>
  <si>
    <t xml:space="preserve">Tipo </t>
  </si>
  <si>
    <t>Contagem de Fases</t>
  </si>
  <si>
    <t>Cabo</t>
  </si>
  <si>
    <t>Diametro (mm)</t>
  </si>
  <si>
    <t>Contagem DPS</t>
  </si>
  <si>
    <t>4P</t>
  </si>
  <si>
    <t>POLOS DA SECCIONADORA</t>
  </si>
  <si>
    <t>Potencia (kW)</t>
  </si>
  <si>
    <t>Potencia (W)</t>
  </si>
  <si>
    <t>Nº de mppt</t>
  </si>
  <si>
    <t>Nº de entrada</t>
  </si>
  <si>
    <t>Corrente (kA)</t>
  </si>
  <si>
    <t>Potência de Geração</t>
  </si>
  <si>
    <t>Possui String Box CC?</t>
  </si>
  <si>
    <t>Tensão de atendimento</t>
  </si>
  <si>
    <t>Concessionaria</t>
  </si>
  <si>
    <t>Sistema CC integrado ?</t>
  </si>
  <si>
    <t>Código</t>
  </si>
  <si>
    <t>Parte Fórmula</t>
  </si>
  <si>
    <t>Exibição Unifilar</t>
  </si>
  <si>
    <t>Formulario</t>
  </si>
  <si>
    <t>fd</t>
  </si>
  <si>
    <t>frm1</t>
  </si>
  <si>
    <t>frm2</t>
  </si>
  <si>
    <t>fd frm</t>
  </si>
  <si>
    <t>variavel</t>
  </si>
  <si>
    <t>CorrenteChave</t>
  </si>
  <si>
    <t>CorrenteDpsCA</t>
  </si>
  <si>
    <t>CorrenteDpsCC</t>
  </si>
  <si>
    <t>Nro</t>
  </si>
  <si>
    <t>QtdChave</t>
  </si>
  <si>
    <t>QtdDpsCC</t>
  </si>
  <si>
    <t>TensaoChave</t>
  </si>
  <si>
    <t>BitolaCabo</t>
  </si>
  <si>
    <t>CorrenteDijuntorCA</t>
  </si>
  <si>
    <t>CorrenteDijuntorPoste</t>
  </si>
  <si>
    <t>DiametroCaboPoste</t>
  </si>
  <si>
    <t>PoloDijuntor</t>
  </si>
  <si>
    <t>QtdFase</t>
  </si>
  <si>
    <t>QtdNeutro</t>
  </si>
  <si>
    <t>SisIntgrado</t>
  </si>
  <si>
    <t>TensaoAtend</t>
  </si>
  <si>
    <t>TipoCaboCA</t>
  </si>
  <si>
    <t>TipoCaboPoste</t>
  </si>
  <si>
    <t>MarcaInversor</t>
  </si>
  <si>
    <t>MarcaModulo</t>
  </si>
  <si>
    <t>ModeloInversor</t>
  </si>
  <si>
    <t>ModeloModulo</t>
  </si>
  <si>
    <t>PotenciaGer</t>
  </si>
  <si>
    <t>PotenciaInversor</t>
  </si>
  <si>
    <t>PotenciaModulo</t>
  </si>
  <si>
    <t>QtdInversor</t>
  </si>
  <si>
    <t>QtdModulo</t>
  </si>
  <si>
    <t>NroEntrada</t>
  </si>
  <si>
    <t>NroMppt</t>
  </si>
  <si>
    <t>GeraPDF</t>
  </si>
  <si>
    <t>LimparFrm2</t>
  </si>
  <si>
    <t>VoltarFrm</t>
  </si>
  <si>
    <t>LimparFrm1</t>
  </si>
  <si>
    <t>Fechar</t>
  </si>
  <si>
    <t>ProximaTela</t>
  </si>
  <si>
    <t>load Frm</t>
  </si>
  <si>
    <t>Def Var</t>
  </si>
  <si>
    <t>frm_dados1.txtBairro</t>
  </si>
  <si>
    <t>frm_dados1.txtCidade</t>
  </si>
  <si>
    <t>frm_dados1.txtCorrenteChave</t>
  </si>
  <si>
    <t>frm_dados1.txtCorrenteDpsCA</t>
  </si>
  <si>
    <t>frm_dados1.txtCorrenteDpsCC</t>
  </si>
  <si>
    <t>frm_dados1.txtEstado</t>
  </si>
  <si>
    <t>frm_dados1.txtNome</t>
  </si>
  <si>
    <t>frm_dados1.txtNro</t>
  </si>
  <si>
    <t>frm_dados1.txtQtdChave</t>
  </si>
  <si>
    <t>frm_dados1.txtRua</t>
  </si>
  <si>
    <t>frm_dados1.txtTensaoChave</t>
  </si>
  <si>
    <t>frm_dados1.cmbBitolaCabo</t>
  </si>
  <si>
    <t>frm_dados1.cmbConcessionaria</t>
  </si>
  <si>
    <t>frm_dados1.cmbCorrenteDijuntorCA</t>
  </si>
  <si>
    <t>frm_dados1.cmbCorrenteDijuntorPoste</t>
  </si>
  <si>
    <t>frm_dados1.cmbDiametroCaboPoste</t>
  </si>
  <si>
    <t>frm_dados1.cmbPoloDijuntor</t>
  </si>
  <si>
    <t>frm_dados1.cmbQtdFase</t>
  </si>
  <si>
    <t>frm_dados1.cmbQtdNeutro</t>
  </si>
  <si>
    <t>frm_dados1.cmbSisIntgrado</t>
  </si>
  <si>
    <t>frm_dados1.cmbTensaoAtend</t>
  </si>
  <si>
    <t>frm_dados1.cmbTipoCaboCA</t>
  </si>
  <si>
    <t>frm_dados1.cmbTipoCaboPoste</t>
  </si>
  <si>
    <t>frm_dados1.btnFechar</t>
  </si>
  <si>
    <t>frm_dados1.btnProximaTela</t>
  </si>
  <si>
    <t>frm_dados2.txtMarcaInversor</t>
  </si>
  <si>
    <t>frm_dados2.txtMarcaModulo</t>
  </si>
  <si>
    <t>frm_dados2.txtModeloInversor</t>
  </si>
  <si>
    <t>frm_dados2.txtModeloModulo</t>
  </si>
  <si>
    <t>frm_dados2.txtPotenciaGer</t>
  </si>
  <si>
    <t>frm_dados2.txtPotenciaInversor</t>
  </si>
  <si>
    <t>frm_dados2.txtPotenciaModulo</t>
  </si>
  <si>
    <t>frm_dados2.txtQtdInversor</t>
  </si>
  <si>
    <t>frm_dados2.txtQtdModulo</t>
  </si>
  <si>
    <t>frm_dados2.cmbNroEntrada</t>
  </si>
  <si>
    <t>frm_dados2.cmbNroMppt</t>
  </si>
  <si>
    <t>frm_dados2.btnGeraPDF</t>
  </si>
  <si>
    <t>frm_dados2.btnLimparfrm_dados2</t>
  </si>
  <si>
    <t>frm_dados2.btnVoltarFrm</t>
  </si>
  <si>
    <t>tab_index</t>
  </si>
  <si>
    <t>index</t>
  </si>
  <si>
    <t>frm_dados1.btnLimparFrm1</t>
  </si>
  <si>
    <t>valida</t>
  </si>
  <si>
    <t>load var previous</t>
  </si>
  <si>
    <t>cmb_add</t>
  </si>
  <si>
    <t>220/380</t>
  </si>
  <si>
    <t>id</t>
  </si>
  <si>
    <t>Data_cadastro</t>
  </si>
  <si>
    <t>insert dados cadatro</t>
  </si>
  <si>
    <t>SP</t>
  </si>
  <si>
    <t>QtdNeutroCA</t>
  </si>
  <si>
    <t>frm_dados1.cmbQtdNeutroCA</t>
  </si>
  <si>
    <t>frm_dados1.cmbProjetista</t>
  </si>
  <si>
    <t>load dados bd</t>
  </si>
  <si>
    <t>Limpar form</t>
  </si>
  <si>
    <t>EDP SP</t>
  </si>
  <si>
    <t>Qtd_pdfs_export</t>
  </si>
  <si>
    <t>nome</t>
  </si>
  <si>
    <t>frm_dados1.txtcodigoProjeto</t>
  </si>
  <si>
    <t>codigoProjeto</t>
  </si>
  <si>
    <t>TipoInversor</t>
  </si>
  <si>
    <t>frm_dados2.cmbTipoInversor</t>
  </si>
  <si>
    <t>Inversor String</t>
  </si>
  <si>
    <t>JOBSON ROBERTO FEITOSA DA SILVA</t>
  </si>
  <si>
    <t>id_usuario</t>
  </si>
  <si>
    <t>login</t>
  </si>
  <si>
    <t>senha</t>
  </si>
  <si>
    <t>admin</t>
  </si>
  <si>
    <t xml:space="preserve">dpsIntegrado </t>
  </si>
  <si>
    <t>coluna bd</t>
  </si>
  <si>
    <t>frm_dados2.txtEntrada1</t>
  </si>
  <si>
    <t>frm_dados2.txtEntrada2</t>
  </si>
  <si>
    <t>frm_dados2.txtEntrada3</t>
  </si>
  <si>
    <t>frm_dados2.txtEntrada4</t>
  </si>
  <si>
    <t>qtdEntrada1</t>
  </si>
  <si>
    <t>qtdEntrada2</t>
  </si>
  <si>
    <t>qtdEntrada3</t>
  </si>
  <si>
    <t>qtdEntrada4</t>
  </si>
  <si>
    <t>nao</t>
  </si>
  <si>
    <t>qtd_mod_entrada1</t>
  </si>
  <si>
    <t>qtd_mod_entrada2</t>
  </si>
  <si>
    <t>qtd_mod_entrada3</t>
  </si>
  <si>
    <t>qtd_mod_entrada4</t>
  </si>
  <si>
    <t>frm_dados1.txtCorrenteDpsCC_Max</t>
  </si>
  <si>
    <t>frm_dados1.txtCorrenteDpsCA_Max</t>
  </si>
  <si>
    <t>CorrenteDpsCC_Max</t>
  </si>
  <si>
    <t>CorrenteDpsCA_Max</t>
  </si>
  <si>
    <t>Corrente_Max_dps_cc</t>
  </si>
  <si>
    <t>Corrente_Max_dps_ca</t>
  </si>
  <si>
    <t>Preenche form automatico</t>
  </si>
  <si>
    <t>frm_dados1.cmbQtdDpsCC</t>
  </si>
  <si>
    <t>Limpar var</t>
  </si>
  <si>
    <t>sim</t>
  </si>
  <si>
    <t>KW</t>
  </si>
  <si>
    <t>2.2</t>
  </si>
  <si>
    <t>frm_dados1.txtTensaoDPScc</t>
  </si>
  <si>
    <t>TensaoDPScc</t>
  </si>
  <si>
    <t>SAO JUDAS</t>
  </si>
  <si>
    <t>SUMARÉ</t>
  </si>
  <si>
    <t>cmbBitolaCabo</t>
  </si>
  <si>
    <t>.</t>
  </si>
  <si>
    <t>cmbConcessionaria</t>
  </si>
  <si>
    <t>cmbCorrenteDijuntorCA</t>
  </si>
  <si>
    <t>cmbCorrenteDijuntorPoste</t>
  </si>
  <si>
    <t>cmbDiametroCaboPoste</t>
  </si>
  <si>
    <t>cmbPoloDijuntor</t>
  </si>
  <si>
    <t>cmbQtdFase</t>
  </si>
  <si>
    <t>cmbQtdNeutro</t>
  </si>
  <si>
    <t>cmbQtdNeutroCA</t>
  </si>
  <si>
    <t>cmbQtdDpsCC</t>
  </si>
  <si>
    <t>cmbSisIntgrado</t>
  </si>
  <si>
    <t>cmbTensaoAtend</t>
  </si>
  <si>
    <t>cmbTipoCaboCA</t>
  </si>
  <si>
    <t>cmbTipoCaboPoste</t>
  </si>
  <si>
    <t>cmbProjetista</t>
  </si>
  <si>
    <t>id usuario</t>
  </si>
  <si>
    <t>127/220</t>
  </si>
  <si>
    <t>SERGIO DOS SANTOS MARQUES</t>
  </si>
  <si>
    <t>DANILO SOARES COSTA</t>
  </si>
  <si>
    <t>MAIKEL LOPEZ LABANINO</t>
  </si>
  <si>
    <t>TensaoDPSca</t>
  </si>
  <si>
    <t>frm_dados1.txtTensaoDPSca</t>
  </si>
  <si>
    <t>HIGOR PIMENTEL</t>
  </si>
  <si>
    <t>DAS TORRES</t>
  </si>
  <si>
    <t>marca inversor</t>
  </si>
  <si>
    <t>marca modulo</t>
  </si>
  <si>
    <t>modelo inversor</t>
  </si>
  <si>
    <t>modelo modulo</t>
  </si>
  <si>
    <t xml:space="preserve">CPFL ENERGIA </t>
  </si>
  <si>
    <t>CEMIG DISTRIBUICAO S.A</t>
  </si>
  <si>
    <t>ELEKTRO - NEOENERGIA ELEKTRO</t>
  </si>
  <si>
    <t>ENEL CE - COMPANHIA ENERGETICA DO CEARA</t>
  </si>
  <si>
    <t>ENEL GO - CELG DISTRIBUICAO S.A.</t>
  </si>
  <si>
    <t>ENEL RJ -  AMPLA ENERGIA E SERVICOS S.A.</t>
  </si>
  <si>
    <t>ENEL SP - ELETROPAULO METROPOLITANA ELETRICIDADE DE SAO PAULO S.A.</t>
  </si>
  <si>
    <t>CELPE - NEOENERGIA PERNAMBUCO</t>
  </si>
  <si>
    <t xml:space="preserve">CEB - NEOENERGIA BRASILIA </t>
  </si>
  <si>
    <t>COELBA - NEOENERGIA BAHIA</t>
  </si>
  <si>
    <t>RGE SUL DISTRIBUIDORA DE ENERGIA S.A.</t>
  </si>
  <si>
    <t>LIGHT SERVICOS DE ELETRICIDADE S A</t>
  </si>
  <si>
    <t>CELESC DISTRIBUICAO S.A</t>
  </si>
  <si>
    <t>ENERGISA MATO GROSSO DO SUL - DISTRIBUIDORA DE ENERGIA S.A.</t>
  </si>
  <si>
    <t>ENERGISA MATO GROSSO - DISTRIBUIDORA DE ENERGIA S.A.</t>
  </si>
  <si>
    <t>ENERGISA SERGIPE - DISTRIBUIDORA DE ENERGIA S.A</t>
  </si>
  <si>
    <t>ENERGISA TOCANTINS DISTRIBUIDORA DE ENERGIA S.A.</t>
  </si>
  <si>
    <t>ENERGISA SUL-SUDESTE (SP) - DISTRIBUIDORA DE ENERGIA S.A.</t>
  </si>
  <si>
    <t>ENERGISA NOVA FRIBURGO (RJ) - DISTRIBUIDORA DE ENERGIA S.A.</t>
  </si>
  <si>
    <t>ENERGISA PARAIBA - DISTRIBUIDORA DE ENERGIA S.A</t>
  </si>
  <si>
    <t>ENERGISA MINAS GERAIS - DISTRIBUIDORA DE ENERGIA S.A.</t>
  </si>
  <si>
    <t>ENERGISA ACRE - DISTRIBUIDORA DE ENERGIA S.A</t>
  </si>
  <si>
    <t>EQUATORIAL MA - EQUATORIAL MARANHÃO DISTRIBUIDORA DE ENERGIA S. A</t>
  </si>
  <si>
    <t>EQUATORIAL PARA DISTRIBUIDORA DE ENERGIA S.A.</t>
  </si>
  <si>
    <t>EQUATORIAL PIAUI DISTRIBUIDORA DE ENERGIA S.A</t>
  </si>
  <si>
    <t>EQUATORIAL ALAGOAS DISTRIBUIDORA DE ENERGIA S.A.</t>
  </si>
  <si>
    <t>CEA - COMPANHIA DE ELETRICIDADE DO AMAPA</t>
  </si>
  <si>
    <t>AMAZONAS ENERGIA S.A</t>
  </si>
  <si>
    <t>CEEE-D  - COMPANHIA ESTADUAL DE DISTRIBUICAO DE ENERGIA ELETRICA - CEEE-D</t>
  </si>
  <si>
    <t>CEMIRIM  - COOPERATIVA DE ELETRIFICACAO E DESENVOLVIMENTO DA REGIAO DE MOGI MIRIM</t>
  </si>
  <si>
    <t>SULGIPE - COMPANHIA SUL SERGIPANA DE ELETRICIDADE</t>
  </si>
  <si>
    <t>DiametroCaboModulo</t>
  </si>
  <si>
    <t>SelecDpsPoste</t>
  </si>
  <si>
    <t>QtdDpsPoste</t>
  </si>
  <si>
    <t>TensaoDpsPoste</t>
  </si>
  <si>
    <t>CorrenteDpsPoste_Max</t>
  </si>
  <si>
    <t>CorrenteDpsPoste</t>
  </si>
  <si>
    <t>frm_dados2.cmbDiametroCaboModulo</t>
  </si>
  <si>
    <t>frm_dados1.cmbSelecDpsPoste</t>
  </si>
  <si>
    <t>frm_dados1.cmbQtdDpsPoste</t>
  </si>
  <si>
    <t>frm_dados1.txtTensaoDpsPoste</t>
  </si>
  <si>
    <t>frm_dados1.txtCorrenteDpsPoste_Max</t>
  </si>
  <si>
    <t>frm_dados1.txtCorrenteDpsPoste</t>
  </si>
  <si>
    <t>tipoCaixaCemig</t>
  </si>
  <si>
    <t>SALERNO</t>
  </si>
  <si>
    <t>EEEE</t>
  </si>
  <si>
    <t>BAIRRO TESTE</t>
  </si>
  <si>
    <t>TESTE USUARIO</t>
  </si>
  <si>
    <t>RUA TESTE</t>
  </si>
  <si>
    <t>45,3</t>
  </si>
  <si>
    <t>CM-2</t>
  </si>
  <si>
    <t>TUPÃ 414</t>
  </si>
  <si>
    <t>marca inversor 2</t>
  </si>
  <si>
    <t>modelo inversor 2</t>
  </si>
  <si>
    <t>Rua Francisco Castilho, 485 - Lot. Remanso Campineiro</t>
  </si>
  <si>
    <t>frm_dados1.CmbdpsIntegrado</t>
  </si>
  <si>
    <t>frm_dados1.cmbTipoCx</t>
  </si>
  <si>
    <t>qtd</t>
  </si>
  <si>
    <t>Objeto</t>
  </si>
  <si>
    <t>propriedade</t>
  </si>
  <si>
    <t>Valor</t>
  </si>
  <si>
    <t>option</t>
  </si>
  <si>
    <t>Frame4</t>
  </si>
  <si>
    <t>Height</t>
  </si>
  <si>
    <t>normal</t>
  </si>
  <si>
    <t>Alterdo</t>
  </si>
  <si>
    <t>Frame8</t>
  </si>
  <si>
    <t>Frame6</t>
  </si>
  <si>
    <t>top</t>
  </si>
  <si>
    <t>lb_versao</t>
  </si>
  <si>
    <t>lb_pagina</t>
  </si>
  <si>
    <t>frm_dados2</t>
  </si>
  <si>
    <t>Valor Original</t>
  </si>
  <si>
    <t>CM-3</t>
  </si>
  <si>
    <t>item</t>
  </si>
  <si>
    <t>mod1_1</t>
  </si>
  <si>
    <t>mod1_2</t>
  </si>
  <si>
    <t>mod1_3</t>
  </si>
  <si>
    <t>mod1_4</t>
  </si>
  <si>
    <t>mod1_5</t>
  </si>
  <si>
    <t>mod1_6</t>
  </si>
  <si>
    <t>mod1_7</t>
  </si>
  <si>
    <t>mod1_8</t>
  </si>
  <si>
    <t>mod1_9</t>
  </si>
  <si>
    <t>mod1_10</t>
  </si>
  <si>
    <t>mod1_11</t>
  </si>
  <si>
    <t>mod1_12</t>
  </si>
  <si>
    <t>mod1_13</t>
  </si>
  <si>
    <t>mod1_14</t>
  </si>
  <si>
    <t>mod2_1</t>
  </si>
  <si>
    <t>mod2_2</t>
  </si>
  <si>
    <t>mod2_3</t>
  </si>
  <si>
    <t>mod2_4</t>
  </si>
  <si>
    <t>mod2_5</t>
  </si>
  <si>
    <t>mod2_6</t>
  </si>
  <si>
    <t>mod2_7</t>
  </si>
  <si>
    <t>mod2_8</t>
  </si>
  <si>
    <t>mod2_9</t>
  </si>
  <si>
    <t>mod2_10</t>
  </si>
  <si>
    <t>mod2_11</t>
  </si>
  <si>
    <t>mod2_12</t>
  </si>
  <si>
    <t>mod2_13</t>
  </si>
  <si>
    <t>mod2_14</t>
  </si>
  <si>
    <t>mod3_1</t>
  </si>
  <si>
    <t>mod3_2</t>
  </si>
  <si>
    <t>mod3_3</t>
  </si>
  <si>
    <t>mod3_4</t>
  </si>
  <si>
    <t>mod3_5</t>
  </si>
  <si>
    <t>mod3_6</t>
  </si>
  <si>
    <t>mod3_7</t>
  </si>
  <si>
    <t>mod3_8</t>
  </si>
  <si>
    <t>mod3_9</t>
  </si>
  <si>
    <t>mod3_10</t>
  </si>
  <si>
    <t>mod3_11</t>
  </si>
  <si>
    <t>mod3_12</t>
  </si>
  <si>
    <t>mod3_13</t>
  </si>
  <si>
    <t>mod3_14</t>
  </si>
  <si>
    <t>def_var</t>
  </si>
  <si>
    <t>set</t>
  </si>
  <si>
    <t>def diagrma</t>
  </si>
  <si>
    <t>mic1_1</t>
  </si>
  <si>
    <t>Private Sub mic1_1_Click()</t>
  </si>
  <si>
    <t xml:space="preserve">    If Me.mic1_1.Value = True Then</t>
  </si>
  <si>
    <t xml:space="preserve">        saldo_mod_micro = saldo_mod_micro + 1</t>
  </si>
  <si>
    <t xml:space="preserve">            Else</t>
  </si>
  <si>
    <t xml:space="preserve">            saldo_mod_micro = saldo_mod_micro - 1</t>
  </si>
  <si>
    <t xml:space="preserve">    End If</t>
  </si>
  <si>
    <t xml:space="preserve">        </t>
  </si>
  <si>
    <t xml:space="preserve">    Me.txtQtdModulo.Value = saldo_mod_micro</t>
  </si>
  <si>
    <t>End Sub</t>
  </si>
  <si>
    <t>mic1_2</t>
  </si>
  <si>
    <t>mic1_3</t>
  </si>
  <si>
    <t>mic1_4</t>
  </si>
  <si>
    <t>mic2_1</t>
  </si>
  <si>
    <t>mic2_2</t>
  </si>
  <si>
    <t>mic2_3</t>
  </si>
  <si>
    <t>mic2_4</t>
  </si>
  <si>
    <t>mic3_1</t>
  </si>
  <si>
    <t>mic3_2</t>
  </si>
  <si>
    <t>mic3_3</t>
  </si>
  <si>
    <t>mic3_4</t>
  </si>
  <si>
    <t>mic4_1</t>
  </si>
  <si>
    <t>mic4_2</t>
  </si>
  <si>
    <t>mic4_3</t>
  </si>
  <si>
    <t>mic4_4</t>
  </si>
  <si>
    <t>mic5_1</t>
  </si>
  <si>
    <t>mic5_2</t>
  </si>
  <si>
    <t>mic5_3</t>
  </si>
  <si>
    <t>mic5_4</t>
  </si>
  <si>
    <t>mic6_1</t>
  </si>
  <si>
    <t>mic6_2</t>
  </si>
  <si>
    <t>mic6_3</t>
  </si>
  <si>
    <t>mic6_4</t>
  </si>
  <si>
    <t>mic7_1</t>
  </si>
  <si>
    <t>mic7_2</t>
  </si>
  <si>
    <t>mic7_3</t>
  </si>
  <si>
    <t>mic7_4</t>
  </si>
  <si>
    <t>mic8_1</t>
  </si>
  <si>
    <t>mic8_2</t>
  </si>
  <si>
    <t>mic8_3</t>
  </si>
  <si>
    <t>mic8_4</t>
  </si>
  <si>
    <t>mic9_1</t>
  </si>
  <si>
    <t>mic9_2</t>
  </si>
  <si>
    <t>mic9_3</t>
  </si>
  <si>
    <t>mic9_4</t>
  </si>
  <si>
    <t>mic10_1</t>
  </si>
  <si>
    <t>mic10_2</t>
  </si>
  <si>
    <t>mic10_3</t>
  </si>
  <si>
    <t>mic10_4</t>
  </si>
  <si>
    <t>Micro Inversor</t>
  </si>
  <si>
    <t>id_registro</t>
  </si>
  <si>
    <t>id_check_micro</t>
  </si>
  <si>
    <t>name</t>
  </si>
  <si>
    <t>valor</t>
  </si>
  <si>
    <t>teste</t>
  </si>
  <si>
    <t>Falso</t>
  </si>
  <si>
    <t>Verdadeiro</t>
  </si>
  <si>
    <t>ALTERACAO NOME</t>
  </si>
  <si>
    <t>20/12/2022 13:31:09</t>
  </si>
  <si>
    <t>DALLORTO</t>
  </si>
  <si>
    <t>TESTE MICRO 1</t>
  </si>
  <si>
    <t>TUPÃ</t>
  </si>
  <si>
    <t>MARCA INVERSOR</t>
  </si>
  <si>
    <t>MARCA MODULO</t>
  </si>
  <si>
    <t>MODELO INVERSOR</t>
  </si>
  <si>
    <t>MODELO MODULO</t>
  </si>
  <si>
    <t>alteracao modulo</t>
  </si>
  <si>
    <t>alteracao modulo2</t>
  </si>
  <si>
    <t>0,3</t>
  </si>
  <si>
    <t>25/12/2022 14:05:02</t>
  </si>
  <si>
    <t>PARQUE TERRA NOVA II</t>
  </si>
  <si>
    <t>SÃO BERNARDO DO CAMPO</t>
  </si>
  <si>
    <t>12,5</t>
  </si>
  <si>
    <t>MGPP EMPREENDIMENTOS E PARTICIPAÇÕES LTDA ME</t>
  </si>
  <si>
    <t xml:space="preserve"> AVENIDA OMAR DAIBERT</t>
  </si>
  <si>
    <t>Growatt</t>
  </si>
  <si>
    <t>ULICA SOLAR</t>
  </si>
  <si>
    <t>MIN 10000TL-X</t>
  </si>
  <si>
    <t>UL-550M-144HV</t>
  </si>
  <si>
    <t>nd</t>
  </si>
  <si>
    <t>RAFAEL DE ARAUJO SILVA</t>
  </si>
  <si>
    <t>OUTRO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</si>
</sst>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rial"/>
      <family val="2"/>
    </font>
    <font>
      <sz val="22"/>
      <color theme="1"/>
      <name val="Arial"/>
      <family val="2"/>
    </font>
    <font>
      <sz val="12"/>
      <color theme="0" tint="-4.9989318521683403E-2"/>
      <name val="Arial"/>
      <family val="2"/>
    </font>
    <font>
      <sz val="12"/>
      <color theme="1" tint="4.9989318521683403E-2"/>
      <name val="Arial"/>
      <family val="2"/>
    </font>
    <font>
      <sz val="10"/>
      <color theme="0" tint="-0.34998626667073579"/>
      <name val="Arial"/>
      <family val="2"/>
    </font>
    <font>
      <sz val="11"/>
      <color theme="1"/>
      <name val="Arial"/>
      <family val="2"/>
    </font>
    <font>
      <sz val="12"/>
      <color theme="0" tint="-0.249977111117893"/>
      <name val="Arial"/>
      <family val="2"/>
    </font>
    <font>
      <sz val="12"/>
      <color theme="0"/>
      <name val="Arial"/>
      <family val="2"/>
    </font>
    <font>
      <sz val="11"/>
      <color theme="0" tint="-4.9989318521683403E-2"/>
      <name val="Arial"/>
      <family val="2"/>
    </font>
    <font>
      <sz val="11"/>
      <color theme="1" tint="0.499984740745262"/>
      <name val="Arial"/>
      <family val="2"/>
    </font>
    <font>
      <sz val="12"/>
      <color theme="1" tint="0.249977111117893"/>
      <name val="Arial"/>
      <family val="2"/>
    </font>
    <font>
      <sz val="11"/>
      <color theme="0" tint="-4.9989318521683403E-2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dashDot">
        <color auto="1"/>
      </right>
      <top style="thick">
        <color auto="1"/>
      </top>
      <bottom/>
      <diagonal/>
    </border>
    <border>
      <left style="dashDot">
        <color auto="1"/>
      </left>
      <right style="dashDot">
        <color auto="1"/>
      </right>
      <top style="thick">
        <color auto="1"/>
      </top>
      <bottom/>
      <diagonal/>
    </border>
    <border>
      <left style="dashDot">
        <color auto="1"/>
      </left>
      <right/>
      <top style="thick">
        <color auto="1"/>
      </top>
      <bottom/>
      <diagonal/>
    </border>
    <border>
      <left style="thick">
        <color auto="1"/>
      </left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/>
      <diagonal/>
    </border>
    <border>
      <left style="dashDot">
        <color auto="1"/>
      </left>
      <right/>
      <top/>
      <bottom/>
      <diagonal/>
    </border>
    <border>
      <left style="thick">
        <color auto="1"/>
      </left>
      <right style="dashDot">
        <color auto="1"/>
      </right>
      <top/>
      <bottom style="thick">
        <color auto="1"/>
      </bottom>
      <diagonal/>
    </border>
    <border>
      <left style="dashDot">
        <color auto="1"/>
      </left>
      <right style="dashDot">
        <color auto="1"/>
      </right>
      <top/>
      <bottom style="thick">
        <color auto="1"/>
      </bottom>
      <diagonal/>
    </border>
    <border>
      <left style="dash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 style="dashDotDot">
        <color auto="1"/>
      </right>
      <top style="thick">
        <color auto="1"/>
      </top>
      <bottom/>
      <diagonal/>
    </border>
    <border>
      <left style="dashDotDot">
        <color auto="1"/>
      </left>
      <right style="dashDotDot">
        <color auto="1"/>
      </right>
      <top/>
      <bottom style="thick">
        <color auto="1"/>
      </bottom>
      <diagonal/>
    </border>
    <border>
      <left style="mediumDashDot">
        <color auto="1"/>
      </left>
      <right/>
      <top style="mediumDashDot">
        <color auto="1"/>
      </top>
      <bottom style="mediumDashDot">
        <color auto="1"/>
      </bottom>
      <diagonal/>
    </border>
    <border>
      <left/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Dot">
        <color auto="1"/>
      </left>
      <right style="thick">
        <color auto="1"/>
      </right>
      <top style="thick">
        <color auto="1"/>
      </top>
      <bottom/>
      <diagonal/>
    </border>
    <border>
      <left style="dashDot">
        <color auto="1"/>
      </left>
      <right style="thick">
        <color auto="1"/>
      </right>
      <top/>
      <bottom/>
      <diagonal/>
    </border>
    <border>
      <left style="dashDot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dashDotDot">
        <color auto="1"/>
      </right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dashDotDot">
        <color auto="1"/>
      </right>
      <top/>
      <bottom/>
      <diagonal/>
    </border>
    <border>
      <left style="dashDotDot">
        <color auto="1"/>
      </left>
      <right style="thick">
        <color auto="1"/>
      </right>
      <top/>
      <bottom/>
      <diagonal/>
    </border>
    <border>
      <left style="thick">
        <color auto="1"/>
      </left>
      <right style="dashDotDot">
        <color auto="1"/>
      </right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dashDot">
        <color indexed="64"/>
      </left>
      <right style="dashDot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dashDot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/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0" xfId="0" applyAlignment="1">
      <alignment horizontal="left"/>
    </xf>
    <xf numFmtId="0" fontId="0" fillId="4" borderId="19" xfId="0" applyFill="1" applyBorder="1" applyAlignment="1">
      <alignment vertical="center"/>
    </xf>
    <xf numFmtId="0" fontId="0" fillId="3" borderId="21" xfId="0" applyFill="1" applyBorder="1"/>
    <xf numFmtId="0" fontId="0" fillId="3" borderId="21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2" borderId="7" xfId="0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0" fillId="6" borderId="13" xfId="0" applyFill="1" applyBorder="1" applyAlignment="1">
      <alignment vertical="center"/>
    </xf>
    <xf numFmtId="0" fontId="0" fillId="6" borderId="9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5" borderId="33" xfId="0" applyFill="1" applyBorder="1" applyAlignment="1">
      <alignment vertical="center"/>
    </xf>
    <xf numFmtId="0" fontId="0" fillId="6" borderId="36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7" borderId="27" xfId="0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0" fontId="0" fillId="7" borderId="31" xfId="0" applyFill="1" applyBorder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180"/>
    </xf>
    <xf numFmtId="0" fontId="0" fillId="0" borderId="0" xfId="0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9" borderId="41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2" borderId="17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4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2" fillId="9" borderId="41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39" xfId="0" quotePrefix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41" xfId="0" applyFill="1" applyBorder="1" applyAlignment="1">
      <alignment horizontal="center"/>
    </xf>
    <xf numFmtId="0" fontId="0" fillId="10" borderId="41" xfId="0" applyFill="1" applyBorder="1" applyAlignment="1">
      <alignment horizontal="center" wrapText="1"/>
    </xf>
    <xf numFmtId="0" fontId="3" fillId="10" borderId="41" xfId="0" applyFont="1" applyFill="1" applyBorder="1" applyAlignment="1">
      <alignment horizontal="center"/>
    </xf>
    <xf numFmtId="0" fontId="0" fillId="10" borderId="41" xfId="0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0" borderId="42" xfId="0" applyBorder="1"/>
    <xf numFmtId="0" fontId="4" fillId="0" borderId="42" xfId="0" applyFont="1" applyBorder="1"/>
    <xf numFmtId="0" fontId="6" fillId="11" borderId="43" xfId="0" applyFont="1" applyFill="1" applyBorder="1" applyAlignment="1">
      <alignment horizontal="center"/>
    </xf>
    <xf numFmtId="0" fontId="6" fillId="11" borderId="44" xfId="0" applyFont="1" applyFill="1" applyBorder="1" applyAlignment="1">
      <alignment horizontal="center"/>
    </xf>
    <xf numFmtId="0" fontId="0" fillId="12" borderId="43" xfId="0" applyFont="1" applyFill="1" applyBorder="1" applyAlignment="1">
      <alignment horizontal="center"/>
    </xf>
    <xf numFmtId="0" fontId="8" fillId="13" borderId="42" xfId="0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9" fillId="0" borderId="42" xfId="0" applyFont="1" applyBorder="1"/>
    <xf numFmtId="0" fontId="0" fillId="0" borderId="41" xfId="0" applyBorder="1"/>
    <xf numFmtId="0" fontId="6" fillId="14" borderId="41" xfId="0" applyFont="1" applyFill="1" applyBorder="1" applyAlignment="1">
      <alignment horizontal="center"/>
    </xf>
    <xf numFmtId="0" fontId="8" fillId="13" borderId="42" xfId="0" applyFont="1" applyFill="1" applyBorder="1" applyAlignment="1">
      <alignment horizontal="center"/>
    </xf>
    <xf numFmtId="0" fontId="7" fillId="4" borderId="0" xfId="0" applyFont="1" applyFill="1" applyAlignment="1"/>
    <xf numFmtId="0" fontId="5" fillId="0" borderId="0" xfId="0" applyFont="1" applyAlignment="1"/>
    <xf numFmtId="0" fontId="0" fillId="0" borderId="0" xfId="0" applyFill="1"/>
    <xf numFmtId="0" fontId="0" fillId="0" borderId="43" xfId="0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13" borderId="0" xfId="0" applyFill="1"/>
    <xf numFmtId="0" fontId="10" fillId="0" borderId="0" xfId="0" applyFont="1" applyFill="1"/>
    <xf numFmtId="22" fontId="5" fillId="0" borderId="0" xfId="0" applyNumberFormat="1" applyFont="1"/>
    <xf numFmtId="0" fontId="10" fillId="4" borderId="0" xfId="0" applyFont="1" applyFill="1"/>
    <xf numFmtId="0" fontId="0" fillId="0" borderId="0" xfId="0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/>
    </xf>
    <xf numFmtId="0" fontId="0" fillId="6" borderId="41" xfId="0" applyFill="1" applyBorder="1" applyAlignment="1">
      <alignment horizontal="center" wrapText="1"/>
    </xf>
    <xf numFmtId="0" fontId="0" fillId="0" borderId="43" xfId="0" applyBorder="1"/>
    <xf numFmtId="0" fontId="0" fillId="0" borderId="0" xfId="0" applyFill="1" applyAlignment="1">
      <alignment horizontal="center" vertical="center"/>
    </xf>
    <xf numFmtId="0" fontId="0" fillId="5" borderId="34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15" borderId="0" xfId="0" applyFill="1"/>
    <xf numFmtId="0" fontId="0" fillId="16" borderId="0" xfId="0" applyFill="1"/>
    <xf numFmtId="0" fontId="0" fillId="12" borderId="0" xfId="0" applyFill="1"/>
    <xf numFmtId="0" fontId="7" fillId="0" borderId="0" xfId="0" applyFont="1" applyFill="1"/>
    <xf numFmtId="0" fontId="0" fillId="0" borderId="0" xfId="0" applyFont="1" applyFill="1"/>
    <xf numFmtId="0" fontId="0" fillId="10" borderId="0" xfId="0" applyFont="1" applyFill="1"/>
    <xf numFmtId="0" fontId="10" fillId="10" borderId="0" xfId="0" applyFont="1" applyFill="1"/>
    <xf numFmtId="0" fontId="8" fillId="12" borderId="42" xfId="0" applyFont="1" applyFill="1" applyBorder="1"/>
    <xf numFmtId="0" fontId="8" fillId="12" borderId="42" xfId="0" applyFont="1" applyFill="1" applyBorder="1" applyAlignment="1"/>
    <xf numFmtId="0" fontId="7" fillId="12" borderId="0" xfId="0" applyFont="1" applyFill="1"/>
    <xf numFmtId="0" fontId="11" fillId="17" borderId="0" xfId="0" applyFont="1" applyFill="1"/>
    <xf numFmtId="0" fontId="0" fillId="17" borderId="0" xfId="0" applyFill="1"/>
    <xf numFmtId="0" fontId="0" fillId="18" borderId="0" xfId="0" applyFill="1"/>
    <xf numFmtId="0" fontId="0" fillId="10" borderId="0" xfId="0" applyFill="1"/>
    <xf numFmtId="3" fontId="5" fillId="0" borderId="0" xfId="0" applyNumberFormat="1" applyFont="1"/>
    <xf numFmtId="0" fontId="0" fillId="6" borderId="11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textRotation="180"/>
    </xf>
    <xf numFmtId="0" fontId="0" fillId="2" borderId="12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 textRotation="180"/>
    </xf>
    <xf numFmtId="0" fontId="0" fillId="0" borderId="37" xfId="0" applyBorder="1" applyAlignment="1">
      <alignment horizontal="center" vertical="center" textRotation="180"/>
    </xf>
    <xf numFmtId="0" fontId="0" fillId="0" borderId="40" xfId="0" applyBorder="1" applyAlignment="1">
      <alignment horizontal="center" vertical="center" textRotation="180"/>
    </xf>
    <xf numFmtId="0" fontId="1" fillId="0" borderId="0" xfId="0" applyFont="1" applyAlignment="1">
      <alignment horizontal="center" vertical="center" textRotation="18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textRotation="180"/>
    </xf>
    <xf numFmtId="0" fontId="0" fillId="0" borderId="6" xfId="0" applyBorder="1" applyAlignment="1">
      <alignment horizontal="center" vertical="center" textRotation="180"/>
    </xf>
    <xf numFmtId="0" fontId="0" fillId="2" borderId="15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</cellXfs>
  <cellStyles count="1">
    <cellStyle name="Normal" xfId="0" builtinId="0"/>
  </cellStyles>
  <dxfs count="1">
    <dxf>
      <numFmt numFmtId="0" formatCode="General"/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714375</xdr:colOff>
          <xdr:row>0</xdr:row>
          <xdr:rowOff>152400</xdr:rowOff>
        </xdr:from>
        <xdr:to>
          <xdr:col>1</xdr:col>
          <xdr:colOff>1228725</xdr:colOff>
          <xdr:row>3</xdr:row>
          <xdr:rowOff>161925</xdr:rowOff>
        </xdr:to>
        <xdr:sp macro="" textlink="">
          <xdr:nvSpPr>
            <xdr:cNvPr id="119809" name="CommandButton1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00000000-0008-0000-0100-00000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ranis%20-%20Auto%20Cad%203/Desktop/Paralelo/Preenchimento%20e%20%20Unifilar%20TES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ing Box"/>
      <sheetName val="Formulario de Acesso 10 kW"/>
      <sheetName val="Formulario de Acesso 10 a 75 kW"/>
      <sheetName val="MEMORIAL DESCRITIVO "/>
      <sheetName val="AutoConsumo "/>
      <sheetName val="PREENCHIMENTO"/>
      <sheetName val="Diagrama unifilar 1 string"/>
      <sheetName val="Diagrama Unifilar 2 Strings"/>
      <sheetName val="Unifilar 3 String"/>
      <sheetName val="Unifilar 1micro"/>
      <sheetName val="banco de dados"/>
    </sheetNames>
    <sheetDataSet>
      <sheetData sheetId="0"/>
      <sheetData sheetId="1"/>
      <sheetData sheetId="2"/>
      <sheetData sheetId="3"/>
      <sheetData sheetId="4"/>
      <sheetData sheetId="5">
        <row r="39">
          <cell r="B39" t="str">
            <v>Monopolar</v>
          </cell>
        </row>
        <row r="147">
          <cell r="B147" t="str">
            <v>Monopolar</v>
          </cell>
        </row>
      </sheetData>
      <sheetData sheetId="6"/>
      <sheetData sheetId="7"/>
      <sheetData sheetId="8"/>
      <sheetData sheetId="9"/>
      <sheetData sheetId="10">
        <row r="4">
          <cell r="D4">
            <v>0</v>
          </cell>
          <cell r="H4">
            <v>0</v>
          </cell>
        </row>
        <row r="5">
          <cell r="D5">
            <v>0</v>
          </cell>
          <cell r="H5">
            <v>0</v>
          </cell>
        </row>
        <row r="6">
          <cell r="D6">
            <v>0</v>
          </cell>
          <cell r="H6">
            <v>0</v>
          </cell>
        </row>
        <row r="7">
          <cell r="J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39997558519241921"/>
  </sheetPr>
  <dimension ref="B1:I172"/>
  <sheetViews>
    <sheetView showGridLines="0" topLeftCell="B1" zoomScale="80" zoomScaleNormal="80" workbookViewId="0">
      <selection activeCell="I30" sqref="I30"/>
    </sheetView>
  </sheetViews>
  <sheetFormatPr defaultRowHeight="15" x14ac:dyDescent="0.2"/>
  <cols>
    <col min="1" max="1" width="2" customWidth="1"/>
    <col min="2" max="2" width="23.6640625" customWidth="1"/>
    <col min="3" max="3" width="35.44140625" style="33" bestFit="1" customWidth="1"/>
    <col min="4" max="4" width="13.6640625" style="33" customWidth="1"/>
    <col min="7" max="7" width="14.6640625" style="29" customWidth="1"/>
    <col min="8" max="8" width="45.109375" style="33" customWidth="1"/>
    <col min="9" max="9" width="51" style="41" bestFit="1" customWidth="1"/>
  </cols>
  <sheetData>
    <row r="1" spans="2:9" ht="15.75" thickBot="1" x14ac:dyDescent="0.25">
      <c r="G1" s="34" t="s">
        <v>70</v>
      </c>
      <c r="H1" s="34" t="s">
        <v>71</v>
      </c>
      <c r="I1" s="42" t="s">
        <v>72</v>
      </c>
    </row>
    <row r="2" spans="2:9" ht="15.75" thickTop="1" x14ac:dyDescent="0.2">
      <c r="B2" s="13" t="s">
        <v>15</v>
      </c>
      <c r="C2" s="43" t="s">
        <v>238</v>
      </c>
      <c r="D2" s="91"/>
      <c r="E2" s="11"/>
      <c r="F2" s="1"/>
      <c r="G2" s="59">
        <v>14</v>
      </c>
      <c r="H2" s="59" t="str">
        <f>C2</f>
        <v>HIGOR PIMENTEL</v>
      </c>
      <c r="I2" s="60" t="str">
        <f>H2</f>
        <v>HIGOR PIMENTEL</v>
      </c>
    </row>
    <row r="3" spans="2:9" x14ac:dyDescent="0.2">
      <c r="B3" s="14"/>
      <c r="C3" s="44"/>
      <c r="D3" s="85"/>
      <c r="E3" s="1"/>
      <c r="F3" s="1"/>
      <c r="G3" s="35"/>
      <c r="H3" s="35"/>
      <c r="I3" s="40"/>
    </row>
    <row r="4" spans="2:9" x14ac:dyDescent="0.2">
      <c r="B4" s="10" t="s">
        <v>16</v>
      </c>
      <c r="C4" s="45" t="s">
        <v>239</v>
      </c>
      <c r="D4" s="85"/>
      <c r="E4" s="1"/>
      <c r="F4" s="1"/>
      <c r="G4" s="35">
        <v>15</v>
      </c>
      <c r="H4" s="35" t="str">
        <f>C4</f>
        <v>DAS TORRES</v>
      </c>
      <c r="I4" s="40"/>
    </row>
    <row r="5" spans="2:9" x14ac:dyDescent="0.2">
      <c r="B5" s="5" t="s">
        <v>17</v>
      </c>
      <c r="C5" s="46">
        <v>134</v>
      </c>
      <c r="D5" s="85"/>
      <c r="E5" s="1"/>
      <c r="F5" s="1"/>
      <c r="G5" s="35">
        <v>15</v>
      </c>
      <c r="H5" s="35">
        <f>C5</f>
        <v>134</v>
      </c>
      <c r="I5" s="40"/>
    </row>
    <row r="6" spans="2:9" x14ac:dyDescent="0.2">
      <c r="B6" s="10" t="s">
        <v>18</v>
      </c>
      <c r="C6" s="45" t="s">
        <v>213</v>
      </c>
      <c r="D6" s="85"/>
      <c r="E6" s="1"/>
      <c r="F6" s="1"/>
      <c r="G6" s="62">
        <v>15</v>
      </c>
      <c r="H6" s="62" t="str">
        <f>C6</f>
        <v>SAO JUDAS</v>
      </c>
      <c r="I6" s="60" t="str">
        <f>H4&amp;","&amp;H5&amp;","&amp;H6</f>
        <v>DAS TORRES,134,SAO JUDAS</v>
      </c>
    </row>
    <row r="7" spans="2:9" x14ac:dyDescent="0.2">
      <c r="B7" s="5" t="s">
        <v>19</v>
      </c>
      <c r="C7" s="46" t="s">
        <v>214</v>
      </c>
      <c r="D7" s="85"/>
      <c r="E7" s="1"/>
      <c r="F7" s="1"/>
      <c r="G7" s="35">
        <v>16</v>
      </c>
      <c r="H7" s="35" t="str">
        <f>C7</f>
        <v>SUMARÉ</v>
      </c>
      <c r="I7" s="40"/>
    </row>
    <row r="8" spans="2:9" x14ac:dyDescent="0.2">
      <c r="B8" s="10" t="s">
        <v>20</v>
      </c>
      <c r="C8" s="45" t="s">
        <v>165</v>
      </c>
      <c r="D8" s="85"/>
      <c r="E8" s="1"/>
      <c r="F8" s="1"/>
      <c r="G8" s="62">
        <v>16</v>
      </c>
      <c r="H8" s="63" t="str">
        <f>C8</f>
        <v>SP</v>
      </c>
      <c r="I8" s="60" t="str">
        <f>H7&amp;","&amp;H8</f>
        <v>SUMARÉ,SP</v>
      </c>
    </row>
    <row r="9" spans="2:9" x14ac:dyDescent="0.2">
      <c r="B9" s="5" t="s">
        <v>21</v>
      </c>
      <c r="C9" s="46"/>
      <c r="D9" s="85"/>
      <c r="E9" s="1"/>
      <c r="F9" s="1"/>
      <c r="G9" s="35"/>
      <c r="H9" s="35"/>
      <c r="I9" s="40"/>
    </row>
    <row r="10" spans="2:9" x14ac:dyDescent="0.2">
      <c r="B10" s="14"/>
      <c r="C10" s="44"/>
      <c r="D10" s="85"/>
      <c r="E10" s="1"/>
      <c r="F10" s="1"/>
      <c r="G10" s="35"/>
      <c r="H10" s="35"/>
      <c r="I10" s="40" t="str">
        <f>"Poste da "&amp;C12</f>
        <v>Poste da EDP SP</v>
      </c>
    </row>
    <row r="11" spans="2:9" x14ac:dyDescent="0.2">
      <c r="B11" s="10" t="s">
        <v>67</v>
      </c>
      <c r="C11" s="45" t="s">
        <v>161</v>
      </c>
      <c r="D11" s="85"/>
      <c r="E11" s="1"/>
      <c r="F11" s="1"/>
      <c r="G11" s="62">
        <v>13</v>
      </c>
      <c r="H11" s="62" t="str">
        <f>CONCATENATE("Tensão de atedimento ",C11)</f>
        <v>Tensão de atedimento 220/380</v>
      </c>
      <c r="I11" s="60" t="str">
        <f>H11</f>
        <v>Tensão de atedimento 220/380</v>
      </c>
    </row>
    <row r="12" spans="2:9" ht="15.75" thickBot="1" x14ac:dyDescent="0.25">
      <c r="B12" s="15" t="s">
        <v>68</v>
      </c>
      <c r="C12" s="47" t="s">
        <v>171</v>
      </c>
      <c r="D12" s="85"/>
      <c r="E12" s="1"/>
      <c r="F12" s="1"/>
      <c r="G12" s="62">
        <v>12</v>
      </c>
      <c r="H12" s="62" t="str">
        <f>CONCATENATE("REDE BT - ",C12)</f>
        <v>REDE BT - EDP SP</v>
      </c>
      <c r="I12" s="60" t="str">
        <f>H12</f>
        <v>REDE BT - EDP SP</v>
      </c>
    </row>
    <row r="13" spans="2:9" ht="16.5" thickTop="1" thickBot="1" x14ac:dyDescent="0.25">
      <c r="B13" s="12"/>
      <c r="C13" s="48"/>
      <c r="G13" s="36"/>
      <c r="H13" s="36"/>
      <c r="I13" s="40"/>
    </row>
    <row r="14" spans="2:9" ht="15.75" customHeight="1" x14ac:dyDescent="0.2">
      <c r="B14" s="22" t="s">
        <v>69</v>
      </c>
      <c r="C14" s="49" t="s">
        <v>208</v>
      </c>
      <c r="D14" s="92"/>
      <c r="E14" s="115" t="s">
        <v>27</v>
      </c>
      <c r="G14" s="59">
        <v>4</v>
      </c>
      <c r="H14" s="59" t="str">
        <f>IF(C14="Sim","",CONCATENATE(C17,"x Chave seccionadora"))</f>
        <v/>
      </c>
      <c r="I14" s="60" t="str">
        <f>IF(C14="Sim","",H14 &amp;"    " &amp;H15&amp;" / "&amp;H16)</f>
        <v/>
      </c>
    </row>
    <row r="15" spans="2:9" ht="17.25" customHeight="1" x14ac:dyDescent="0.2">
      <c r="B15" s="23" t="s">
        <v>13</v>
      </c>
      <c r="C15" s="50">
        <v>20</v>
      </c>
      <c r="D15" s="109" t="s">
        <v>4</v>
      </c>
      <c r="E15" s="116"/>
      <c r="G15" s="36">
        <v>5</v>
      </c>
      <c r="H15" s="36" t="str">
        <f>IF(C14="Sim","",CONCATENATE(C15," Vcc "))</f>
        <v/>
      </c>
      <c r="I15" s="40"/>
    </row>
    <row r="16" spans="2:9" ht="17.25" customHeight="1" x14ac:dyDescent="0.2">
      <c r="B16" s="23" t="s">
        <v>14</v>
      </c>
      <c r="C16" s="50">
        <v>10</v>
      </c>
      <c r="D16" s="109"/>
      <c r="E16" s="116"/>
      <c r="G16" s="36">
        <v>5</v>
      </c>
      <c r="H16" s="36" t="str">
        <f>CONCATENATE(C16,"A")</f>
        <v>10A</v>
      </c>
      <c r="I16" s="40"/>
    </row>
    <row r="17" spans="2:9" ht="17.25" customHeight="1" x14ac:dyDescent="0.2">
      <c r="B17" s="23" t="s">
        <v>6</v>
      </c>
      <c r="C17" s="50">
        <v>30</v>
      </c>
      <c r="D17" s="109"/>
      <c r="E17" s="116"/>
      <c r="G17" s="36"/>
      <c r="H17" s="36" t="str">
        <f>"        "&amp;C57&amp;"  Vca | "</f>
        <v xml:space="preserve">        60  Vca | </v>
      </c>
      <c r="I17" s="40"/>
    </row>
    <row r="18" spans="2:9" ht="15" customHeight="1" x14ac:dyDescent="0.2">
      <c r="B18" s="24" t="s">
        <v>64</v>
      </c>
      <c r="C18" s="51">
        <v>40</v>
      </c>
      <c r="D18" s="110" t="s">
        <v>5</v>
      </c>
      <c r="E18" s="116"/>
      <c r="G18" s="59">
        <v>5</v>
      </c>
      <c r="H18" s="59" t="str">
        <f>CONCATENATE("       In: ",C18," Ka ") &amp; CONCATENATE("       Imax: "&amp;C55&amp;" kA")</f>
        <v xml:space="preserve">       In: 40 Ka        Imax: 50 kA</v>
      </c>
      <c r="I18" s="60" t="str">
        <f>CONCATENATE(H19,H17,H18)</f>
        <v>3x DPS         60  Vca |        In: 40 Ka        Imax: 50 kA</v>
      </c>
    </row>
    <row r="19" spans="2:9" ht="17.25" customHeight="1" thickBot="1" x14ac:dyDescent="0.25">
      <c r="B19" s="25" t="s">
        <v>6</v>
      </c>
      <c r="C19" s="52">
        <v>3</v>
      </c>
      <c r="D19" s="111"/>
      <c r="E19" s="117"/>
      <c r="G19" s="36">
        <v>5</v>
      </c>
      <c r="H19" s="36" t="str">
        <f>CONCATENATE(C19,"x DPS ")</f>
        <v xml:space="preserve">3x DPS </v>
      </c>
      <c r="I19" s="40"/>
    </row>
    <row r="20" spans="2:9" ht="17.25" customHeight="1" x14ac:dyDescent="0.2">
      <c r="B20" s="10" t="s">
        <v>14</v>
      </c>
      <c r="C20" s="50">
        <v>25</v>
      </c>
      <c r="D20" s="112" t="s">
        <v>7</v>
      </c>
      <c r="E20" s="113" t="s">
        <v>11</v>
      </c>
      <c r="G20" s="36"/>
      <c r="H20" s="36"/>
      <c r="I20" s="40"/>
    </row>
    <row r="21" spans="2:9" ht="17.25" customHeight="1" x14ac:dyDescent="0.2">
      <c r="B21" s="10" t="s">
        <v>0</v>
      </c>
      <c r="C21" s="50" t="s">
        <v>39</v>
      </c>
      <c r="D21" s="112"/>
      <c r="E21" s="113"/>
      <c r="G21" s="59">
        <v>8</v>
      </c>
      <c r="H21" s="59" t="str">
        <f>CONCATENATE("Disjuntor ",C21," de ",C20," A")</f>
        <v>Disjuntor Bipolar de 25 A</v>
      </c>
      <c r="I21" s="60" t="str">
        <f>H21</f>
        <v>Disjuntor Bipolar de 25 A</v>
      </c>
    </row>
    <row r="22" spans="2:9" ht="17.25" customHeight="1" x14ac:dyDescent="0.2">
      <c r="B22" s="5" t="s">
        <v>64</v>
      </c>
      <c r="C22" s="51">
        <v>70</v>
      </c>
      <c r="D22" s="86" t="s">
        <v>5</v>
      </c>
      <c r="E22" s="113"/>
      <c r="G22" s="36"/>
      <c r="H22" s="36"/>
      <c r="I22" s="40"/>
    </row>
    <row r="23" spans="2:9" ht="17.25" customHeight="1" x14ac:dyDescent="0.2">
      <c r="B23" s="10" t="s">
        <v>6</v>
      </c>
      <c r="C23" s="50">
        <v>1</v>
      </c>
      <c r="D23" s="87" t="s">
        <v>9</v>
      </c>
      <c r="E23" s="113"/>
      <c r="G23" s="61">
        <v>9</v>
      </c>
      <c r="H23" s="61" t="str">
        <f>CONCATENATE(IF(C21="Monopolar",1,IF(C21="Bipolar",2,IF(C21="Tripolar",3,0)))," x"," DPS     "&amp;C58&amp;"  Vca | ","In:"&amp;C22&amp;" kA ","
Imax: ",C56," kA")</f>
        <v>2 x DPS     90  Vca | In:70 kA 
Imax: 80 kA</v>
      </c>
      <c r="I23" s="61" t="str">
        <f>H23</f>
        <v>2 x DPS     90  Vca | In:70 kA 
Imax: 80 kA</v>
      </c>
    </row>
    <row r="24" spans="2:9" ht="17.25" customHeight="1" x14ac:dyDescent="0.2">
      <c r="B24" s="3" t="s">
        <v>37</v>
      </c>
      <c r="C24" s="51">
        <v>16</v>
      </c>
      <c r="D24" s="114" t="s">
        <v>55</v>
      </c>
      <c r="E24" s="113"/>
      <c r="G24" s="36">
        <v>7</v>
      </c>
      <c r="H24" s="36" t="str">
        <f>IF(OR(C21="Bipolar",C21="Monopolar"),"3# ","4# ") &amp;C24&amp;"("&amp;C24&amp;") mm² "</f>
        <v xml:space="preserve">3# 16(16) mm² </v>
      </c>
      <c r="I24" s="40"/>
    </row>
    <row r="25" spans="2:9" ht="17.25" customHeight="1" thickBot="1" x14ac:dyDescent="0.25">
      <c r="B25" s="3" t="s">
        <v>36</v>
      </c>
      <c r="C25" s="51" t="s">
        <v>47</v>
      </c>
      <c r="D25" s="114"/>
      <c r="E25" s="113"/>
      <c r="G25" s="59">
        <v>7</v>
      </c>
      <c r="H25" s="59" t="str">
        <f>C25</f>
        <v>EPR/XLPE 90º</v>
      </c>
      <c r="I25" s="60" t="str">
        <f>H24&amp; " " &amp;H25</f>
        <v>3# 16(16) mm²  EPR/XLPE 90º</v>
      </c>
    </row>
    <row r="26" spans="2:9" ht="17.25" customHeight="1" thickTop="1" x14ac:dyDescent="0.2">
      <c r="B26" s="17" t="s">
        <v>6</v>
      </c>
      <c r="C26" s="53">
        <v>1</v>
      </c>
      <c r="D26" s="16" t="s">
        <v>8</v>
      </c>
      <c r="E26" s="121" t="s">
        <v>10</v>
      </c>
      <c r="G26" s="59">
        <v>10</v>
      </c>
      <c r="H26" s="59" t="str">
        <f>CONCATENATE("Disjuntor ",IF(C26=1,"Monopolar",IF(C26=2,"Bipolar",IF(C26=3,"Tripolar",0)))," de ",C28,"A")</f>
        <v>Disjuntor Monopolar de 32A</v>
      </c>
      <c r="I26" s="60" t="str">
        <f>H26</f>
        <v>Disjuntor Monopolar de 32A</v>
      </c>
    </row>
    <row r="27" spans="2:9" ht="17.25" customHeight="1" x14ac:dyDescent="0.2">
      <c r="B27" s="18" t="s">
        <v>6</v>
      </c>
      <c r="C27" s="51">
        <v>0</v>
      </c>
      <c r="D27" s="86" t="s">
        <v>9</v>
      </c>
      <c r="E27" s="113"/>
      <c r="G27" s="59">
        <v>11</v>
      </c>
      <c r="H27" s="59" t="str">
        <f>IF(C26=1,"2# ",IF(C26=2,"3# ","4# "))&amp;C30&amp;"("&amp;C30&amp;") mm ² "&amp;C29</f>
        <v>2# 6(6) mm ² EPR/XLPE 90º</v>
      </c>
      <c r="I27" s="60" t="str">
        <f>H27</f>
        <v>2# 6(6) mm ² EPR/XLPE 90º</v>
      </c>
    </row>
    <row r="28" spans="2:9" ht="17.25" customHeight="1" x14ac:dyDescent="0.2">
      <c r="B28" s="19" t="s">
        <v>14</v>
      </c>
      <c r="C28" s="50">
        <v>32</v>
      </c>
      <c r="D28" s="87" t="s">
        <v>7</v>
      </c>
      <c r="E28" s="113"/>
      <c r="G28" s="36"/>
      <c r="H28" s="36"/>
      <c r="I28" s="40"/>
    </row>
    <row r="29" spans="2:9" ht="17.25" customHeight="1" x14ac:dyDescent="0.2">
      <c r="B29" s="18" t="s">
        <v>53</v>
      </c>
      <c r="C29" s="54" t="s">
        <v>47</v>
      </c>
      <c r="D29" s="114" t="s">
        <v>12</v>
      </c>
      <c r="E29" s="113"/>
      <c r="G29" s="36"/>
      <c r="H29" s="36"/>
      <c r="I29" s="40"/>
    </row>
    <row r="30" spans="2:9" ht="17.25" customHeight="1" thickBot="1" x14ac:dyDescent="0.25">
      <c r="B30" s="20" t="s">
        <v>56</v>
      </c>
      <c r="C30" s="55">
        <v>6</v>
      </c>
      <c r="D30" s="123"/>
      <c r="E30" s="122"/>
      <c r="G30" s="59">
        <v>17</v>
      </c>
      <c r="H30" s="59" t="str">
        <f>C32</f>
        <v>JOBSON ROBERTO FEITOSA DA SILVA</v>
      </c>
      <c r="I30" s="60" t="str">
        <f>H30</f>
        <v>JOBSON ROBERTO FEITOSA DA SILVA</v>
      </c>
    </row>
    <row r="31" spans="2:9" ht="16.5" thickTop="1" thickBot="1" x14ac:dyDescent="0.25">
      <c r="B31" s="1"/>
      <c r="C31" s="31"/>
      <c r="D31" s="85"/>
      <c r="E31" s="1"/>
      <c r="G31" s="59">
        <v>18</v>
      </c>
      <c r="H31" s="59" t="str">
        <f>VLOOKUP(H30,base_projetista!A:B,2,FALSE)</f>
        <v>Rua Francisco Castilho, 485 - Lot. Remanso Campineiro</v>
      </c>
      <c r="I31" s="60" t="str">
        <f>H31</f>
        <v>Rua Francisco Castilho, 485 - Lot. Remanso Campineiro</v>
      </c>
    </row>
    <row r="32" spans="2:9" ht="15.75" thickBot="1" x14ac:dyDescent="0.25">
      <c r="B32" s="9" t="s">
        <v>22</v>
      </c>
      <c r="C32" s="124" t="s">
        <v>179</v>
      </c>
      <c r="D32" s="125"/>
      <c r="E32" s="1"/>
      <c r="G32" s="59">
        <v>19</v>
      </c>
      <c r="H32" s="59" t="str">
        <f>VLOOKUP(H30,base_projetista!A:C,3,)</f>
        <v>Campinas / SP</v>
      </c>
      <c r="I32" s="60" t="str">
        <f>H32</f>
        <v>Campinas / SP</v>
      </c>
    </row>
    <row r="33" spans="2:9" ht="15.75" thickBot="1" x14ac:dyDescent="0.25">
      <c r="B33" s="1"/>
      <c r="C33" s="31"/>
      <c r="D33" s="85"/>
      <c r="E33" s="1"/>
      <c r="G33" s="59">
        <v>20</v>
      </c>
      <c r="H33" s="59" t="str">
        <f>VLOOKUP(H30,base_projetista!A:D,4,FALSE)</f>
        <v>13060-624</v>
      </c>
      <c r="I33" s="63" t="str">
        <f>H33</f>
        <v>13060-624</v>
      </c>
    </row>
    <row r="34" spans="2:9" ht="15.75" thickTop="1" x14ac:dyDescent="0.2">
      <c r="B34" s="2" t="s">
        <v>23</v>
      </c>
      <c r="C34" s="37" t="s">
        <v>241</v>
      </c>
      <c r="D34" s="126" t="s">
        <v>26</v>
      </c>
      <c r="E34" s="1"/>
      <c r="G34" s="36"/>
      <c r="H34" s="36"/>
      <c r="I34" s="40"/>
    </row>
    <row r="35" spans="2:9" x14ac:dyDescent="0.2">
      <c r="B35" s="3" t="s">
        <v>24</v>
      </c>
      <c r="C35" s="38" t="s">
        <v>243</v>
      </c>
      <c r="D35" s="127"/>
      <c r="E35" s="1"/>
      <c r="G35" s="59">
        <v>3</v>
      </c>
      <c r="H35" s="59" t="str">
        <f>CONCATENATE(C36*C37/1000," kW")</f>
        <v>18 kW</v>
      </c>
      <c r="I35" s="60" t="str">
        <f>H35</f>
        <v>18 kW</v>
      </c>
    </row>
    <row r="36" spans="2:9" x14ac:dyDescent="0.2">
      <c r="B36" s="3" t="s">
        <v>61</v>
      </c>
      <c r="C36" s="38">
        <v>1000</v>
      </c>
      <c r="D36" s="127"/>
      <c r="E36" s="1"/>
      <c r="G36" s="59">
        <v>2</v>
      </c>
      <c r="H36" s="59" t="str">
        <f>IF(C34="",0,C34)</f>
        <v>marca modulo</v>
      </c>
      <c r="I36" s="60" t="str">
        <f>H36</f>
        <v>marca modulo</v>
      </c>
    </row>
    <row r="37" spans="2:9" ht="15.75" thickBot="1" x14ac:dyDescent="0.25">
      <c r="B37" s="4" t="s">
        <v>6</v>
      </c>
      <c r="C37" s="39">
        <v>18</v>
      </c>
      <c r="D37" s="128"/>
      <c r="E37" s="1"/>
      <c r="G37" s="59">
        <v>1</v>
      </c>
      <c r="H37" s="59" t="str">
        <f>CONCATENATE(C37," x Móulos FV ",C36," Wp ")</f>
        <v xml:space="preserve">18 x Móulos FV 1000 Wp </v>
      </c>
      <c r="I37" s="60" t="str">
        <f>H37</f>
        <v xml:space="preserve">18 x Móulos FV 1000 Wp </v>
      </c>
    </row>
    <row r="38" spans="2:9" ht="16.5" thickTop="1" thickBot="1" x14ac:dyDescent="0.25">
      <c r="B38" s="1"/>
      <c r="C38" s="31"/>
      <c r="D38" s="85"/>
      <c r="E38" s="1"/>
      <c r="G38" s="36" t="s">
        <v>210</v>
      </c>
      <c r="H38" s="36" t="str">
        <f>IF(C35="",0,C35)</f>
        <v>modelo modulo</v>
      </c>
      <c r="I38" s="40" t="str">
        <f>H38</f>
        <v>modelo modulo</v>
      </c>
    </row>
    <row r="39" spans="2:9" ht="15.75" thickTop="1" x14ac:dyDescent="0.2">
      <c r="B39" s="26" t="s">
        <v>23</v>
      </c>
      <c r="C39" s="56" t="s">
        <v>240</v>
      </c>
      <c r="D39" s="129" t="s">
        <v>25</v>
      </c>
      <c r="E39" s="1"/>
      <c r="G39" s="36">
        <v>6</v>
      </c>
      <c r="H39" s="36" t="str">
        <f>CONCATENATE("Inversor Grid Tie ",C39)</f>
        <v>Inversor Grid Tie marca inversor</v>
      </c>
      <c r="I39" s="40"/>
    </row>
    <row r="40" spans="2:9" x14ac:dyDescent="0.2">
      <c r="B40" s="27" t="s">
        <v>24</v>
      </c>
      <c r="C40" s="57" t="s">
        <v>242</v>
      </c>
      <c r="D40" s="130"/>
      <c r="E40" s="1"/>
      <c r="G40" s="88">
        <v>6</v>
      </c>
      <c r="H40" s="88" t="str">
        <f>C40</f>
        <v>modelo inversor</v>
      </c>
      <c r="I40" s="89" t="str">
        <f>CONCATENATE(H39)</f>
        <v>Inversor Grid Tie marca inversor</v>
      </c>
    </row>
    <row r="41" spans="2:9" x14ac:dyDescent="0.2">
      <c r="B41" s="27" t="s">
        <v>63</v>
      </c>
      <c r="C41" s="57">
        <v>2</v>
      </c>
      <c r="D41" s="130"/>
      <c r="E41" s="1"/>
      <c r="G41" s="88">
        <v>6</v>
      </c>
      <c r="H41" s="88" t="str">
        <f>H40</f>
        <v>modelo inversor</v>
      </c>
      <c r="I41" s="89" t="str">
        <f>H41</f>
        <v>modelo inversor</v>
      </c>
    </row>
    <row r="42" spans="2:9" x14ac:dyDescent="0.2">
      <c r="B42" s="27" t="s">
        <v>62</v>
      </c>
      <c r="C42" s="57">
        <v>3</v>
      </c>
      <c r="D42" s="130"/>
      <c r="E42" s="1"/>
      <c r="G42" s="88">
        <v>6</v>
      </c>
      <c r="H42" s="88" t="str">
        <f>C43&amp;" KW"</f>
        <v>20 KW</v>
      </c>
      <c r="I42" s="89" t="str">
        <f>H42</f>
        <v>20 KW</v>
      </c>
    </row>
    <row r="43" spans="2:9" x14ac:dyDescent="0.2">
      <c r="B43" s="27" t="s">
        <v>60</v>
      </c>
      <c r="C43" s="57">
        <v>20</v>
      </c>
      <c r="D43" s="130"/>
      <c r="E43" s="1"/>
      <c r="G43" s="36"/>
      <c r="H43" s="36"/>
      <c r="I43" s="40"/>
    </row>
    <row r="44" spans="2:9" ht="15.75" thickBot="1" x14ac:dyDescent="0.25">
      <c r="B44" s="28" t="s">
        <v>6</v>
      </c>
      <c r="C44" s="58">
        <v>30</v>
      </c>
      <c r="D44" s="131"/>
      <c r="E44" s="1"/>
      <c r="G44" s="36"/>
      <c r="H44" s="36"/>
      <c r="I44" s="40"/>
    </row>
    <row r="45" spans="2:9" ht="16.5" thickTop="1" thickBot="1" x14ac:dyDescent="0.25">
      <c r="G45" s="36"/>
      <c r="H45" s="36"/>
      <c r="I45" s="40"/>
    </row>
    <row r="46" spans="2:9" ht="15.75" thickBot="1" x14ac:dyDescent="0.25">
      <c r="B46" s="7" t="s">
        <v>65</v>
      </c>
      <c r="C46" s="21">
        <v>18</v>
      </c>
      <c r="G46" s="59">
        <v>21</v>
      </c>
      <c r="H46" s="59" t="str">
        <f>CONCATENATE("Produto GFV ",C46," kWp")</f>
        <v>Produto GFV 18 kWp</v>
      </c>
      <c r="I46" s="60" t="str">
        <f>H46</f>
        <v>Produto GFV 18 kWp</v>
      </c>
    </row>
    <row r="47" spans="2:9" ht="15.75" thickBot="1" x14ac:dyDescent="0.25">
      <c r="G47" s="36"/>
      <c r="H47" s="36"/>
      <c r="I47" s="40"/>
    </row>
    <row r="48" spans="2:9" ht="15.75" thickBot="1" x14ac:dyDescent="0.25">
      <c r="B48" s="8" t="s">
        <v>66</v>
      </c>
      <c r="C48" s="32" t="str">
        <f>IF(C14="Sim","SIM","NÃO")</f>
        <v>SIM</v>
      </c>
      <c r="D48" s="93"/>
      <c r="G48" s="36"/>
      <c r="H48" s="36"/>
      <c r="I48" s="40"/>
    </row>
    <row r="50" spans="2:8" x14ac:dyDescent="0.2">
      <c r="B50" s="90"/>
      <c r="C50" s="79"/>
      <c r="D50" s="79" t="s">
        <v>209</v>
      </c>
    </row>
    <row r="51" spans="2:8" x14ac:dyDescent="0.2">
      <c r="B51" s="79" t="s">
        <v>195</v>
      </c>
      <c r="C51" s="79">
        <v>3</v>
      </c>
      <c r="D51" s="79" t="str">
        <f>(C51*$C$36) /1000 &amp;" KW"</f>
        <v>3 KW</v>
      </c>
      <c r="H51" s="33" t="str">
        <f>CONCATENATE(C54," x Móulos FV ",$C$36," Wp ")</f>
        <v xml:space="preserve">6 x Móulos FV 1000 Wp </v>
      </c>
    </row>
    <row r="52" spans="2:8" x14ac:dyDescent="0.2">
      <c r="B52" s="79" t="s">
        <v>196</v>
      </c>
      <c r="C52" s="79">
        <v>4</v>
      </c>
      <c r="D52" s="79" t="str">
        <f t="shared" ref="D52:D53" si="0">(C52*$C$36) /1000 &amp;" KW"</f>
        <v>4 KW</v>
      </c>
      <c r="H52" s="33" t="str">
        <f>CONCATENATE(C53," x Móulos FV ",$C$36," Wp ")</f>
        <v xml:space="preserve">5 x Móulos FV 1000 Wp </v>
      </c>
    </row>
    <row r="53" spans="2:8" x14ac:dyDescent="0.2">
      <c r="B53" s="79" t="s">
        <v>197</v>
      </c>
      <c r="C53" s="79">
        <v>5</v>
      </c>
      <c r="D53" s="79" t="str">
        <f t="shared" si="0"/>
        <v>5 KW</v>
      </c>
      <c r="H53" s="33" t="str">
        <f>CONCATENATE(C52," x Móulos FV ",$C$36," Wp ")</f>
        <v xml:space="preserve">4 x Móulos FV 1000 Wp </v>
      </c>
    </row>
    <row r="54" spans="2:8" x14ac:dyDescent="0.2">
      <c r="B54" s="79" t="s">
        <v>198</v>
      </c>
      <c r="C54" s="79">
        <v>6</v>
      </c>
      <c r="D54" s="79" t="str">
        <f>(C54*$C$36) /1000 &amp;" KW"</f>
        <v>6 KW</v>
      </c>
      <c r="H54" s="33" t="str">
        <f>CONCATENATE(C51," x Móulos FV ",$C$36," Wp ")</f>
        <v xml:space="preserve">3 x Móulos FV 1000 Wp </v>
      </c>
    </row>
    <row r="55" spans="2:8" x14ac:dyDescent="0.2">
      <c r="B55" s="80" t="s">
        <v>203</v>
      </c>
      <c r="C55" s="79">
        <v>50</v>
      </c>
      <c r="D55" s="79"/>
    </row>
    <row r="56" spans="2:8" x14ac:dyDescent="0.2">
      <c r="B56" s="80" t="s">
        <v>204</v>
      </c>
      <c r="C56" s="79">
        <v>80</v>
      </c>
      <c r="D56" s="79"/>
    </row>
    <row r="57" spans="2:8" x14ac:dyDescent="0.2">
      <c r="B57" s="79" t="s">
        <v>212</v>
      </c>
      <c r="C57" s="79">
        <v>60</v>
      </c>
      <c r="D57" s="79"/>
    </row>
    <row r="58" spans="2:8" x14ac:dyDescent="0.2">
      <c r="B58" s="79" t="s">
        <v>236</v>
      </c>
      <c r="C58" s="79">
        <v>90</v>
      </c>
      <c r="D58" s="79"/>
    </row>
    <row r="59" spans="2:8" x14ac:dyDescent="0.2">
      <c r="B59" s="33"/>
    </row>
    <row r="125" spans="2:2" x14ac:dyDescent="0.2">
      <c r="B125" t="s">
        <v>46</v>
      </c>
    </row>
    <row r="126" spans="2:2" x14ac:dyDescent="0.2">
      <c r="B126" t="s">
        <v>47</v>
      </c>
    </row>
    <row r="128" spans="2:2" x14ac:dyDescent="0.2">
      <c r="B128" t="s">
        <v>43</v>
      </c>
    </row>
    <row r="129" spans="2:5" x14ac:dyDescent="0.2">
      <c r="B129" t="s">
        <v>41</v>
      </c>
    </row>
    <row r="130" spans="2:5" x14ac:dyDescent="0.2">
      <c r="B130" t="s">
        <v>42</v>
      </c>
    </row>
    <row r="132" spans="2:5" x14ac:dyDescent="0.2">
      <c r="B132" t="s">
        <v>38</v>
      </c>
    </row>
    <row r="133" spans="2:5" x14ac:dyDescent="0.2">
      <c r="B133" t="s">
        <v>39</v>
      </c>
    </row>
    <row r="134" spans="2:5" x14ac:dyDescent="0.2">
      <c r="B134" t="s">
        <v>40</v>
      </c>
    </row>
    <row r="136" spans="2:5" x14ac:dyDescent="0.2">
      <c r="B136" s="6">
        <v>4</v>
      </c>
      <c r="C136" s="118" t="s">
        <v>45</v>
      </c>
      <c r="E136" t="str">
        <f>"frm_dados1.cmbDiametroCaboPoste """&amp;B136&amp;""""</f>
        <v>frm_dados1.cmbDiametroCaboPoste "4"</v>
      </c>
    </row>
    <row r="137" spans="2:5" x14ac:dyDescent="0.2">
      <c r="B137" s="6">
        <v>6</v>
      </c>
      <c r="C137" s="118"/>
      <c r="E137" t="str">
        <f t="shared" ref="E137:E142" si="1">"frm_dados1.cmbDiametroCaboPoste """&amp;B137&amp;""""</f>
        <v>frm_dados1.cmbDiametroCaboPoste "6"</v>
      </c>
    </row>
    <row r="138" spans="2:5" x14ac:dyDescent="0.2">
      <c r="B138" s="6">
        <v>10</v>
      </c>
      <c r="C138" s="118"/>
      <c r="E138" t="str">
        <f t="shared" si="1"/>
        <v>frm_dados1.cmbDiametroCaboPoste "10"</v>
      </c>
    </row>
    <row r="139" spans="2:5" x14ac:dyDescent="0.2">
      <c r="B139" s="6">
        <v>16</v>
      </c>
      <c r="C139" s="118"/>
      <c r="E139" t="str">
        <f t="shared" si="1"/>
        <v>frm_dados1.cmbDiametroCaboPoste "16"</v>
      </c>
    </row>
    <row r="140" spans="2:5" x14ac:dyDescent="0.2">
      <c r="B140" s="6">
        <v>25</v>
      </c>
      <c r="C140" s="118"/>
      <c r="E140" t="str">
        <f t="shared" si="1"/>
        <v>frm_dados1.cmbDiametroCaboPoste "25"</v>
      </c>
    </row>
    <row r="141" spans="2:5" x14ac:dyDescent="0.2">
      <c r="B141" s="6">
        <v>35</v>
      </c>
      <c r="C141" s="118"/>
      <c r="E141" t="str">
        <f t="shared" si="1"/>
        <v>frm_dados1.cmbDiametroCaboPoste "35"</v>
      </c>
    </row>
    <row r="142" spans="2:5" x14ac:dyDescent="0.2">
      <c r="B142" s="6">
        <v>50</v>
      </c>
      <c r="C142" s="118"/>
      <c r="E142" t="str">
        <f t="shared" si="1"/>
        <v>frm_dados1.cmbDiametroCaboPoste "50"</v>
      </c>
    </row>
    <row r="143" spans="2:5" x14ac:dyDescent="0.2">
      <c r="B143" s="6"/>
      <c r="C143" s="30"/>
    </row>
    <row r="144" spans="2:5" x14ac:dyDescent="0.2">
      <c r="B144" s="6"/>
      <c r="C144" s="30"/>
    </row>
    <row r="146" spans="2:5" x14ac:dyDescent="0.2">
      <c r="B146" s="6">
        <v>15</v>
      </c>
      <c r="C146" s="118" t="s">
        <v>44</v>
      </c>
      <c r="E146" t="str">
        <f>"frm_dados1.cmbCorrenteDijuntorPoste.AddItem """&amp;B146&amp;""""</f>
        <v>frm_dados1.cmbCorrenteDijuntorPoste.AddItem "15"</v>
      </c>
    </row>
    <row r="147" spans="2:5" x14ac:dyDescent="0.2">
      <c r="B147" s="6">
        <v>20</v>
      </c>
      <c r="C147" s="118"/>
      <c r="E147" t="str">
        <f t="shared" ref="E147:E157" si="2">"frm_dados1.cmbCorrenteDijuntorPoste.AddItem """&amp;B147&amp;""""</f>
        <v>frm_dados1.cmbCorrenteDijuntorPoste.AddItem "20"</v>
      </c>
    </row>
    <row r="148" spans="2:5" x14ac:dyDescent="0.2">
      <c r="B148" s="6">
        <v>25</v>
      </c>
      <c r="C148" s="118"/>
      <c r="E148" t="str">
        <f t="shared" si="2"/>
        <v>frm_dados1.cmbCorrenteDijuntorPoste.AddItem "25"</v>
      </c>
    </row>
    <row r="149" spans="2:5" x14ac:dyDescent="0.2">
      <c r="B149" s="6">
        <v>32</v>
      </c>
      <c r="C149" s="118"/>
      <c r="E149" t="str">
        <f t="shared" si="2"/>
        <v>frm_dados1.cmbCorrenteDijuntorPoste.AddItem "32"</v>
      </c>
    </row>
    <row r="150" spans="2:5" x14ac:dyDescent="0.2">
      <c r="B150" s="6">
        <v>40</v>
      </c>
      <c r="C150" s="118"/>
      <c r="E150" t="str">
        <f t="shared" si="2"/>
        <v>frm_dados1.cmbCorrenteDijuntorPoste.AddItem "40"</v>
      </c>
    </row>
    <row r="151" spans="2:5" x14ac:dyDescent="0.2">
      <c r="B151" s="6">
        <v>50</v>
      </c>
      <c r="C151" s="118"/>
      <c r="E151" t="str">
        <f t="shared" si="2"/>
        <v>frm_dados1.cmbCorrenteDijuntorPoste.AddItem "50"</v>
      </c>
    </row>
    <row r="152" spans="2:5" x14ac:dyDescent="0.2">
      <c r="B152" s="6">
        <v>60</v>
      </c>
      <c r="C152" s="118"/>
      <c r="E152" t="str">
        <f t="shared" si="2"/>
        <v>frm_dados1.cmbCorrenteDijuntorPoste.AddItem "60"</v>
      </c>
    </row>
    <row r="153" spans="2:5" x14ac:dyDescent="0.2">
      <c r="B153" s="6">
        <v>63</v>
      </c>
      <c r="C153" s="118"/>
      <c r="E153" t="str">
        <f t="shared" si="2"/>
        <v>frm_dados1.cmbCorrenteDijuntorPoste.AddItem "63"</v>
      </c>
    </row>
    <row r="154" spans="2:5" x14ac:dyDescent="0.2">
      <c r="B154" s="6">
        <v>70</v>
      </c>
      <c r="C154" s="118"/>
      <c r="E154" t="str">
        <f t="shared" si="2"/>
        <v>frm_dados1.cmbCorrenteDijuntorPoste.AddItem "70"</v>
      </c>
    </row>
    <row r="155" spans="2:5" x14ac:dyDescent="0.2">
      <c r="B155" s="6">
        <v>80</v>
      </c>
      <c r="C155" s="118"/>
      <c r="E155" t="str">
        <f t="shared" si="2"/>
        <v>frm_dados1.cmbCorrenteDijuntorPoste.AddItem "80"</v>
      </c>
    </row>
    <row r="156" spans="2:5" x14ac:dyDescent="0.2">
      <c r="B156" s="6">
        <v>90</v>
      </c>
      <c r="C156" s="118"/>
      <c r="E156" t="str">
        <f t="shared" si="2"/>
        <v>frm_dados1.cmbCorrenteDijuntorPoste.AddItem "90"</v>
      </c>
    </row>
    <row r="157" spans="2:5" x14ac:dyDescent="0.2">
      <c r="B157" s="6">
        <v>100</v>
      </c>
      <c r="C157" s="118"/>
      <c r="E157" t="str">
        <f t="shared" si="2"/>
        <v>frm_dados1.cmbCorrenteDijuntorPoste.AddItem "100"</v>
      </c>
    </row>
    <row r="159" spans="2:5" x14ac:dyDescent="0.2">
      <c r="B159" s="6">
        <v>1</v>
      </c>
      <c r="C159" s="119" t="s">
        <v>54</v>
      </c>
    </row>
    <row r="160" spans="2:5" x14ac:dyDescent="0.2">
      <c r="B160" s="6">
        <v>2</v>
      </c>
      <c r="C160" s="119"/>
    </row>
    <row r="161" spans="2:3" x14ac:dyDescent="0.2">
      <c r="B161" s="6">
        <v>3</v>
      </c>
      <c r="C161" s="119"/>
    </row>
    <row r="163" spans="2:3" x14ac:dyDescent="0.2">
      <c r="B163" s="6">
        <v>1</v>
      </c>
      <c r="C163" s="119" t="s">
        <v>57</v>
      </c>
    </row>
    <row r="164" spans="2:3" x14ac:dyDescent="0.2">
      <c r="B164" s="6">
        <v>2</v>
      </c>
      <c r="C164" s="119"/>
    </row>
    <row r="165" spans="2:3" x14ac:dyDescent="0.2">
      <c r="B165" s="6">
        <v>3</v>
      </c>
      <c r="C165" s="119"/>
    </row>
    <row r="166" spans="2:3" x14ac:dyDescent="0.2">
      <c r="B166" s="6">
        <v>4</v>
      </c>
      <c r="C166" s="119"/>
    </row>
    <row r="168" spans="2:3" x14ac:dyDescent="0.2">
      <c r="B168" t="s">
        <v>1</v>
      </c>
      <c r="C168" s="120" t="s">
        <v>59</v>
      </c>
    </row>
    <row r="169" spans="2:3" x14ac:dyDescent="0.2">
      <c r="B169" t="s">
        <v>2</v>
      </c>
      <c r="C169" s="120"/>
    </row>
    <row r="170" spans="2:3" x14ac:dyDescent="0.2">
      <c r="B170" t="s">
        <v>3</v>
      </c>
      <c r="C170" s="120"/>
    </row>
    <row r="171" spans="2:3" x14ac:dyDescent="0.2">
      <c r="B171" t="s">
        <v>58</v>
      </c>
      <c r="C171" s="120"/>
    </row>
    <row r="172" spans="2:3" x14ac:dyDescent="0.2">
      <c r="C172" s="120"/>
    </row>
  </sheetData>
  <mergeCells count="16">
    <mergeCell ref="C146:C157"/>
    <mergeCell ref="C159:C161"/>
    <mergeCell ref="C163:C166"/>
    <mergeCell ref="C168:C172"/>
    <mergeCell ref="E26:E30"/>
    <mergeCell ref="D29:D30"/>
    <mergeCell ref="C32:D32"/>
    <mergeCell ref="D34:D37"/>
    <mergeCell ref="C136:C142"/>
    <mergeCell ref="D39:D44"/>
    <mergeCell ref="D15:D17"/>
    <mergeCell ref="D18:D19"/>
    <mergeCell ref="D20:D21"/>
    <mergeCell ref="E20:E25"/>
    <mergeCell ref="D24:D25"/>
    <mergeCell ref="E14:E19"/>
  </mergeCells>
  <conditionalFormatting sqref="C15:C17">
    <cfRule type="cellIs" dxfId="0" priority="1" operator="equal">
      <formula>$C$14="Não"</formula>
    </cfRule>
  </conditionalFormatting>
  <dataValidations count="17">
    <dataValidation allowBlank="1" showInputMessage="1" sqref="C48" xr:uid="{00000000-0002-0000-0000-000000000000}"/>
    <dataValidation type="list" allowBlank="1" showInputMessage="1" promptTitle="Atenção" prompt="Quando Micro inversor, não preencher." sqref="C42" xr:uid="{00000000-0002-0000-0000-000001000000}">
      <formula1>"2,3"</formula1>
    </dataValidation>
    <dataValidation type="list" allowBlank="1" showInputMessage="1" promptTitle="Atenção" prompt="Quando Micro inversor, não preencher." sqref="C41" xr:uid="{00000000-0002-0000-0000-000002000000}">
      <formula1>"2,3,4"</formula1>
    </dataValidation>
    <dataValidation type="list" allowBlank="1" showErrorMessage="1" promptTitle="OBS:" sqref="C23" xr:uid="{00000000-0002-0000-0000-000003000000}">
      <formula1>"0,1"</formula1>
    </dataValidation>
    <dataValidation type="list" allowBlank="1" showInputMessage="1" sqref="C19" xr:uid="{00000000-0002-0000-0000-000004000000}">
      <formula1>$B$163:$B$166</formula1>
    </dataValidation>
    <dataValidation type="list" allowBlank="1" showInputMessage="1" showErrorMessage="1" promptTitle="OBS" prompt="Possui netro no padrão,exceto somente se &quot;Monofasico FF&quot; inserir 0" sqref="C27" xr:uid="{00000000-0002-0000-0000-000005000000}">
      <formula1>"1,0"</formula1>
    </dataValidation>
    <dataValidation type="list" allowBlank="1" showInputMessage="1" sqref="C30" xr:uid="{00000000-0002-0000-0000-000006000000}">
      <formula1>$B$136:$B$142</formula1>
    </dataValidation>
    <dataValidation type="list" allowBlank="1" showInputMessage="1" sqref="C20" xr:uid="{00000000-0002-0000-0000-000007000000}">
      <formula1>$B$146:$B$153</formula1>
    </dataValidation>
    <dataValidation type="list" allowBlank="1" showInputMessage="1" sqref="C28" xr:uid="{00000000-0002-0000-0000-000008000000}">
      <formula1>$B$146:$B$157</formula1>
    </dataValidation>
    <dataValidation type="list" allowBlank="1" showInputMessage="1" promptTitle="OBS:" prompt="1= Monofásico_x000a_2= Bifásico_x000a_3= Trifásico" sqref="C26" xr:uid="{00000000-0002-0000-0000-000009000000}">
      <formula1>$B$159:$B$161</formula1>
    </dataValidation>
    <dataValidation type="list" allowBlank="1" showInputMessage="1" promptTitle="OBS:" prompt="1=Mopolar (&quot;Monofásico&quot;)_x000a__x000a_2=Bipolar (&quot;Bifásico&quot;)_x000a__x000a_3=Tipolar (&quot;Trifásico&quot;)_x000a_" sqref="C21" xr:uid="{00000000-0002-0000-0000-00000A000000}">
      <formula1>$B$132:$B$134</formula1>
    </dataValidation>
    <dataValidation type="list" allowBlank="1" showInputMessage="1" showErrorMessage="1" promptTitle="Atenção" prompt="Amenos que seja informado o contrário, utilzar o cabo de 70 º." sqref="C29 C25" xr:uid="{00000000-0002-0000-0000-00000B000000}">
      <formula1>$B$125:$B$126</formula1>
    </dataValidation>
    <dataValidation type="list" allowBlank="1" showInputMessage="1" showErrorMessage="1" promptTitle="OBS:" prompt="Disjuntor CA até 20A utilize 4mm_x000a_Disjuntor CA até 40A utilize 6mm_x000a_Disjuntor CA até 63A utilize 10mm_x000a_" sqref="C24" xr:uid="{00000000-0002-0000-0000-00000C000000}">
      <formula1>$B$136:$B$140</formula1>
    </dataValidation>
    <dataValidation type="list" allowBlank="1" showInputMessage="1" sqref="C11" xr:uid="{00000000-0002-0000-0000-00000D000000}">
      <formula1>"127/220,220/380"</formula1>
    </dataValidation>
    <dataValidation type="list" allowBlank="1" showInputMessage="1" sqref="C32:D32" xr:uid="{00000000-0002-0000-0000-00000E000000}">
      <formula1>"Sergio dos Santos Marques,Jobson Roberto Feitosa da Silva,Rafael Araujo da Silva,Danilo Soares Costa,Maikel Lopez Labanino"</formula1>
    </dataValidation>
    <dataValidation type="list" allowBlank="1" showInputMessage="1" sqref="C12" xr:uid="{00000000-0002-0000-0000-00000F000000}">
      <formula1>"EDP ES,EDP SP,CEMIG,COPEL,ELEKTRO"</formula1>
    </dataValidation>
    <dataValidation type="list" allowBlank="1" showInputMessage="1" sqref="C14" xr:uid="{00000000-0002-0000-0000-000010000000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"/>
  <sheetViews>
    <sheetView showGridLines="0" tabSelected="1" zoomScale="82" zoomScaleNormal="82" workbookViewId="0">
      <selection activeCell="D7" sqref="D7"/>
    </sheetView>
  </sheetViews>
  <sheetFormatPr defaultRowHeight="15" x14ac:dyDescent="0.2"/>
  <cols>
    <col min="1" max="1" width="8.88671875" style="78"/>
    <col min="2" max="2" width="16.44140625" style="78" customWidth="1"/>
    <col min="3" max="4" width="8.88671875" style="78"/>
    <col min="5" max="5" width="12.6640625" style="78" bestFit="1" customWidth="1"/>
    <col min="6" max="16384" width="8.88671875" style="78"/>
  </cols>
  <sheetData>
    <row r="1" spans="1:1" x14ac:dyDescent="0.2">
      <c r="A1" s="97" t="s">
        <v>289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19809" r:id="rId3" name="CommandButton1">
          <controlPr defaultSize="0" autoLine="0" r:id="rId4">
            <anchor moveWithCells="1">
              <from>
                <xdr:col>0</xdr:col>
                <xdr:colOff>714375</xdr:colOff>
                <xdr:row>0</xdr:row>
                <xdr:rowOff>152400</xdr:rowOff>
              </from>
              <to>
                <xdr:col>1</xdr:col>
                <xdr:colOff>1228725</xdr:colOff>
                <xdr:row>3</xdr:row>
                <xdr:rowOff>161925</xdr:rowOff>
              </to>
            </anchor>
          </controlPr>
        </control>
      </mc:Choice>
      <mc:Fallback>
        <control shapeId="11980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FF2E2-4BB1-4509-9872-D31568F6347D}">
  <sheetPr codeName="Planilha7"/>
  <dimension ref="A1:W169"/>
  <sheetViews>
    <sheetView zoomScale="93" zoomScaleNormal="93" workbookViewId="0">
      <selection activeCell="C13" sqref="C13"/>
    </sheetView>
  </sheetViews>
  <sheetFormatPr defaultRowHeight="15" x14ac:dyDescent="0.2"/>
  <cols>
    <col min="6" max="6" width="11.88671875" customWidth="1"/>
    <col min="10" max="10" width="8.44140625" bestFit="1" customWidth="1"/>
    <col min="11" max="11" width="24.44140625" bestFit="1" customWidth="1"/>
    <col min="12" max="12" width="42" bestFit="1" customWidth="1"/>
    <col min="19" max="20" width="9.33203125" customWidth="1"/>
    <col min="22" max="23" width="40" bestFit="1" customWidth="1"/>
  </cols>
  <sheetData>
    <row r="1" spans="1:23" ht="15.75" x14ac:dyDescent="0.25">
      <c r="A1" s="104" t="s">
        <v>301</v>
      </c>
      <c r="B1" s="104" t="s">
        <v>302</v>
      </c>
      <c r="C1" s="104" t="s">
        <v>303</v>
      </c>
      <c r="D1" s="104" t="s">
        <v>304</v>
      </c>
      <c r="E1" s="104" t="s">
        <v>305</v>
      </c>
      <c r="J1" t="s">
        <v>318</v>
      </c>
      <c r="K1" t="s">
        <v>361</v>
      </c>
      <c r="L1" t="s">
        <v>362</v>
      </c>
      <c r="M1" t="s">
        <v>363</v>
      </c>
      <c r="Q1">
        <v>1</v>
      </c>
      <c r="R1">
        <v>1</v>
      </c>
      <c r="S1" t="str">
        <f>"mic"&amp;Q1&amp;"_"&amp;R1</f>
        <v>mic1_1</v>
      </c>
      <c r="T1" t="str">
        <f>"."&amp;S1&amp;".value = True"</f>
        <v>.mic1_1.value = True</v>
      </c>
      <c r="V1" t="s">
        <v>365</v>
      </c>
      <c r="W1" t="str">
        <f>"Private Sub "&amp;S1&amp;"_Click()"</f>
        <v>Private Sub mic1_1_Click()</v>
      </c>
    </row>
    <row r="2" spans="1:23" x14ac:dyDescent="0.2">
      <c r="B2" t="s">
        <v>306</v>
      </c>
      <c r="C2" t="s">
        <v>307</v>
      </c>
      <c r="D2">
        <v>270</v>
      </c>
      <c r="E2" t="s">
        <v>308</v>
      </c>
      <c r="J2" s="107" t="s">
        <v>319</v>
      </c>
      <c r="K2" s="107" t="str">
        <f>"dim shape_"&amp;J2&amp;" as shape"</f>
        <v>dim shape_mod1_1 as shape</v>
      </c>
      <c r="L2" s="107" t="str">
        <f>"Set "&amp;J2&amp;" = ActiveSheet.Shapes("""&amp;J2&amp;""")"</f>
        <v>Set mod1_1 = ActiveSheet.Shapes("mod1_1")</v>
      </c>
      <c r="M2">
        <v>1</v>
      </c>
      <c r="Q2">
        <v>1</v>
      </c>
      <c r="R2">
        <v>2</v>
      </c>
      <c r="S2" t="str">
        <f t="shared" ref="S2:S40" si="0">"mic"&amp;Q2&amp;"_"&amp;R2</f>
        <v>mic1_2</v>
      </c>
      <c r="T2" t="str">
        <f t="shared" ref="T2:T40" si="1">"."&amp;S2&amp;".value = True"</f>
        <v>.mic1_2.value = True</v>
      </c>
    </row>
    <row r="3" spans="1:23" x14ac:dyDescent="0.2">
      <c r="B3" t="s">
        <v>306</v>
      </c>
      <c r="C3" t="s">
        <v>307</v>
      </c>
      <c r="D3">
        <v>330</v>
      </c>
      <c r="E3" t="s">
        <v>309</v>
      </c>
      <c r="J3" s="107" t="s">
        <v>320</v>
      </c>
      <c r="K3" s="107" t="str">
        <f t="shared" ref="K3:K66" si="2">"dim shape_"&amp;J3&amp;" as shape"</f>
        <v>dim shape_mod1_2 as shape</v>
      </c>
      <c r="L3" s="107" t="str">
        <f t="shared" ref="L3:L66" si="3">"Set "&amp;J3&amp;" = ActiveSheet.Shapes("""&amp;J3&amp;""")"</f>
        <v>Set mod1_2 = ActiveSheet.Shapes("mod1_2")</v>
      </c>
      <c r="M3">
        <v>1</v>
      </c>
      <c r="Q3">
        <v>1</v>
      </c>
      <c r="R3">
        <v>3</v>
      </c>
      <c r="S3" t="str">
        <f t="shared" si="0"/>
        <v>mic1_3</v>
      </c>
      <c r="T3" t="str">
        <f t="shared" si="1"/>
        <v>.mic1_3.value = True</v>
      </c>
      <c r="V3" t="s">
        <v>366</v>
      </c>
      <c r="W3" t="str">
        <f>"    If Me."&amp;S1&amp;".Value = True Then"</f>
        <v xml:space="preserve">    If Me.mic1_1.Value = True Then</v>
      </c>
    </row>
    <row r="4" spans="1:23" x14ac:dyDescent="0.2">
      <c r="A4" s="105"/>
      <c r="B4" s="105"/>
      <c r="C4" s="105"/>
      <c r="D4" s="105"/>
      <c r="E4" s="105"/>
      <c r="F4" t="s">
        <v>316</v>
      </c>
      <c r="J4" s="107" t="s">
        <v>321</v>
      </c>
      <c r="K4" s="107" t="str">
        <f t="shared" si="2"/>
        <v>dim shape_mod1_3 as shape</v>
      </c>
      <c r="L4" s="107" t="str">
        <f t="shared" si="3"/>
        <v>Set mod1_3 = ActiveSheet.Shapes("mod1_3")</v>
      </c>
      <c r="M4">
        <v>1</v>
      </c>
      <c r="Q4">
        <v>1</v>
      </c>
      <c r="R4">
        <v>4</v>
      </c>
      <c r="S4" t="str">
        <f t="shared" si="0"/>
        <v>mic1_4</v>
      </c>
      <c r="T4" t="str">
        <f t="shared" si="1"/>
        <v>.mic1_4.value = True</v>
      </c>
      <c r="V4" t="s">
        <v>367</v>
      </c>
      <c r="W4" t="s">
        <v>367</v>
      </c>
    </row>
    <row r="5" spans="1:23" x14ac:dyDescent="0.2">
      <c r="A5">
        <v>1</v>
      </c>
      <c r="B5" t="s">
        <v>310</v>
      </c>
      <c r="C5" t="s">
        <v>307</v>
      </c>
      <c r="D5">
        <v>94</v>
      </c>
      <c r="F5">
        <v>94</v>
      </c>
      <c r="J5" s="107" t="s">
        <v>322</v>
      </c>
      <c r="K5" s="107" t="str">
        <f t="shared" si="2"/>
        <v>dim shape_mod1_4 as shape</v>
      </c>
      <c r="L5" s="107" t="str">
        <f t="shared" si="3"/>
        <v>Set mod1_4 = ActiveSheet.Shapes("mod1_4")</v>
      </c>
      <c r="M5">
        <v>1</v>
      </c>
      <c r="Q5">
        <f>Q1+1</f>
        <v>2</v>
      </c>
      <c r="R5">
        <v>1</v>
      </c>
      <c r="S5" t="str">
        <f t="shared" si="0"/>
        <v>mic2_1</v>
      </c>
      <c r="T5" t="str">
        <f t="shared" si="1"/>
        <v>.mic2_1.value = True</v>
      </c>
      <c r="V5" t="s">
        <v>368</v>
      </c>
      <c r="W5" t="s">
        <v>368</v>
      </c>
    </row>
    <row r="6" spans="1:23" x14ac:dyDescent="0.2">
      <c r="A6">
        <v>1</v>
      </c>
      <c r="B6" t="s">
        <v>311</v>
      </c>
      <c r="C6" t="s">
        <v>312</v>
      </c>
      <c r="D6">
        <v>252</v>
      </c>
      <c r="F6">
        <v>252</v>
      </c>
      <c r="J6" s="107" t="s">
        <v>323</v>
      </c>
      <c r="K6" s="107" t="str">
        <f t="shared" si="2"/>
        <v>dim shape_mod1_5 as shape</v>
      </c>
      <c r="L6" s="107" t="str">
        <f t="shared" si="3"/>
        <v>Set mod1_5 = ActiveSheet.Shapes("mod1_5")</v>
      </c>
      <c r="M6">
        <v>1</v>
      </c>
      <c r="Q6">
        <f t="shared" ref="Q6:Q40" si="4">Q2+1</f>
        <v>2</v>
      </c>
      <c r="R6">
        <v>2</v>
      </c>
      <c r="S6" t="str">
        <f t="shared" si="0"/>
        <v>mic2_2</v>
      </c>
      <c r="T6" t="str">
        <f t="shared" si="1"/>
        <v>.mic2_2.value = True</v>
      </c>
      <c r="V6" t="s">
        <v>369</v>
      </c>
      <c r="W6" t="s">
        <v>369</v>
      </c>
    </row>
    <row r="7" spans="1:23" x14ac:dyDescent="0.2">
      <c r="A7">
        <v>1</v>
      </c>
      <c r="B7" t="s">
        <v>313</v>
      </c>
      <c r="C7" t="s">
        <v>312</v>
      </c>
      <c r="D7">
        <v>252</v>
      </c>
      <c r="F7">
        <v>252</v>
      </c>
      <c r="J7" s="107" t="s">
        <v>324</v>
      </c>
      <c r="K7" s="107" t="str">
        <f t="shared" si="2"/>
        <v>dim shape_mod1_6 as shape</v>
      </c>
      <c r="L7" s="107" t="str">
        <f t="shared" si="3"/>
        <v>Set mod1_6 = ActiveSheet.Shapes("mod1_6")</v>
      </c>
      <c r="M7">
        <v>1</v>
      </c>
      <c r="Q7">
        <f t="shared" si="4"/>
        <v>2</v>
      </c>
      <c r="R7">
        <v>3</v>
      </c>
      <c r="S7" t="str">
        <f t="shared" si="0"/>
        <v>mic2_3</v>
      </c>
      <c r="T7" t="str">
        <f t="shared" si="1"/>
        <v>.mic2_3.value = True</v>
      </c>
      <c r="V7" t="s">
        <v>370</v>
      </c>
      <c r="W7" t="s">
        <v>370</v>
      </c>
    </row>
    <row r="8" spans="1:23" x14ac:dyDescent="0.2">
      <c r="A8">
        <v>1</v>
      </c>
      <c r="B8" t="s">
        <v>314</v>
      </c>
      <c r="C8" t="s">
        <v>312</v>
      </c>
      <c r="D8">
        <v>274</v>
      </c>
      <c r="F8">
        <v>274</v>
      </c>
      <c r="J8" s="107" t="s">
        <v>325</v>
      </c>
      <c r="K8" s="107" t="str">
        <f t="shared" si="2"/>
        <v>dim shape_mod1_7 as shape</v>
      </c>
      <c r="L8" s="107" t="str">
        <f t="shared" si="3"/>
        <v>Set mod1_7 = ActiveSheet.Shapes("mod1_7")</v>
      </c>
      <c r="M8">
        <v>1</v>
      </c>
      <c r="Q8">
        <f t="shared" si="4"/>
        <v>2</v>
      </c>
      <c r="R8">
        <v>4</v>
      </c>
      <c r="S8" t="str">
        <f t="shared" si="0"/>
        <v>mic2_4</v>
      </c>
      <c r="T8" t="str">
        <f t="shared" si="1"/>
        <v>.mic2_4.value = True</v>
      </c>
      <c r="V8" t="s">
        <v>371</v>
      </c>
      <c r="W8" t="s">
        <v>371</v>
      </c>
    </row>
    <row r="9" spans="1:23" x14ac:dyDescent="0.2">
      <c r="A9">
        <v>1</v>
      </c>
      <c r="B9" t="s">
        <v>315</v>
      </c>
      <c r="C9" t="s">
        <v>307</v>
      </c>
      <c r="D9">
        <v>336</v>
      </c>
      <c r="F9">
        <v>336</v>
      </c>
      <c r="J9" s="107" t="s">
        <v>326</v>
      </c>
      <c r="K9" s="107" t="str">
        <f t="shared" si="2"/>
        <v>dim shape_mod1_8 as shape</v>
      </c>
      <c r="L9" s="107" t="str">
        <f t="shared" si="3"/>
        <v>Set mod1_8 = ActiveSheet.Shapes("mod1_8")</v>
      </c>
      <c r="M9">
        <v>1</v>
      </c>
      <c r="Q9">
        <f t="shared" si="4"/>
        <v>3</v>
      </c>
      <c r="R9">
        <v>1</v>
      </c>
      <c r="S9" t="str">
        <f t="shared" si="0"/>
        <v>mic3_1</v>
      </c>
      <c r="T9" t="str">
        <f t="shared" si="1"/>
        <v>.mic3_1.value = True</v>
      </c>
      <c r="V9" t="s">
        <v>372</v>
      </c>
      <c r="W9" t="s">
        <v>372</v>
      </c>
    </row>
    <row r="10" spans="1:23" x14ac:dyDescent="0.2">
      <c r="A10" s="106">
        <v>2</v>
      </c>
      <c r="B10" s="106" t="s">
        <v>310</v>
      </c>
      <c r="C10" s="106" t="s">
        <v>307</v>
      </c>
      <c r="D10" s="106">
        <v>118</v>
      </c>
      <c r="F10">
        <v>118</v>
      </c>
      <c r="J10" s="107" t="s">
        <v>327</v>
      </c>
      <c r="K10" s="107" t="str">
        <f t="shared" si="2"/>
        <v>dim shape_mod1_9 as shape</v>
      </c>
      <c r="L10" s="107" t="str">
        <f t="shared" si="3"/>
        <v>Set mod1_9 = ActiveSheet.Shapes("mod1_9")</v>
      </c>
      <c r="M10">
        <v>1</v>
      </c>
      <c r="Q10">
        <f t="shared" si="4"/>
        <v>3</v>
      </c>
      <c r="R10">
        <v>2</v>
      </c>
      <c r="S10" t="str">
        <f t="shared" si="0"/>
        <v>mic3_2</v>
      </c>
      <c r="T10" t="str">
        <f t="shared" si="1"/>
        <v>.mic3_2.value = True</v>
      </c>
    </row>
    <row r="11" spans="1:23" x14ac:dyDescent="0.2">
      <c r="A11" s="106">
        <v>2</v>
      </c>
      <c r="B11" s="106" t="s">
        <v>311</v>
      </c>
      <c r="C11" s="106" t="s">
        <v>312</v>
      </c>
      <c r="D11" s="106">
        <v>276</v>
      </c>
      <c r="F11">
        <v>276</v>
      </c>
      <c r="J11" s="107" t="s">
        <v>328</v>
      </c>
      <c r="K11" s="107" t="str">
        <f t="shared" si="2"/>
        <v>dim shape_mod1_10 as shape</v>
      </c>
      <c r="L11" s="107" t="str">
        <f t="shared" si="3"/>
        <v>Set mod1_10 = ActiveSheet.Shapes("mod1_10")</v>
      </c>
      <c r="M11">
        <v>1</v>
      </c>
      <c r="Q11">
        <f t="shared" si="4"/>
        <v>3</v>
      </c>
      <c r="R11">
        <v>3</v>
      </c>
      <c r="S11" t="str">
        <f t="shared" si="0"/>
        <v>mic3_3</v>
      </c>
      <c r="T11" t="str">
        <f t="shared" si="1"/>
        <v>.mic3_3.value = True</v>
      </c>
      <c r="V11" t="s">
        <v>373</v>
      </c>
      <c r="W11" t="s">
        <v>373</v>
      </c>
    </row>
    <row r="12" spans="1:23" x14ac:dyDescent="0.2">
      <c r="A12" s="106">
        <v>2</v>
      </c>
      <c r="B12" s="106" t="s">
        <v>313</v>
      </c>
      <c r="C12" s="106" t="s">
        <v>312</v>
      </c>
      <c r="D12" s="106">
        <v>276</v>
      </c>
      <c r="F12">
        <v>276</v>
      </c>
      <c r="J12" s="107" t="s">
        <v>329</v>
      </c>
      <c r="K12" s="107" t="str">
        <f t="shared" si="2"/>
        <v>dim shape_mod1_11 as shape</v>
      </c>
      <c r="L12" s="107" t="str">
        <f t="shared" si="3"/>
        <v>Set mod1_11 = ActiveSheet.Shapes("mod1_11")</v>
      </c>
      <c r="M12">
        <v>1</v>
      </c>
      <c r="Q12">
        <f t="shared" si="4"/>
        <v>3</v>
      </c>
      <c r="R12">
        <v>4</v>
      </c>
      <c r="S12" t="str">
        <f t="shared" si="0"/>
        <v>mic3_4</v>
      </c>
      <c r="T12" t="str">
        <f t="shared" si="1"/>
        <v>.mic3_4.value = True</v>
      </c>
    </row>
    <row r="13" spans="1:23" x14ac:dyDescent="0.2">
      <c r="A13" s="106">
        <v>2</v>
      </c>
      <c r="B13" s="106" t="s">
        <v>314</v>
      </c>
      <c r="C13" s="106" t="s">
        <v>312</v>
      </c>
      <c r="D13" s="106">
        <v>298</v>
      </c>
      <c r="F13">
        <v>298</v>
      </c>
      <c r="J13" s="107" t="s">
        <v>330</v>
      </c>
      <c r="K13" s="107" t="str">
        <f t="shared" si="2"/>
        <v>dim shape_mod1_12 as shape</v>
      </c>
      <c r="L13" s="107" t="str">
        <f t="shared" si="3"/>
        <v>Set mod1_12 = ActiveSheet.Shapes("mod1_12")</v>
      </c>
      <c r="M13">
        <v>1</v>
      </c>
      <c r="Q13">
        <f t="shared" si="4"/>
        <v>4</v>
      </c>
      <c r="R13">
        <v>1</v>
      </c>
      <c r="S13" t="str">
        <f t="shared" si="0"/>
        <v>mic4_1</v>
      </c>
      <c r="T13" t="str">
        <f t="shared" si="1"/>
        <v>.mic4_1.value = True</v>
      </c>
      <c r="W13" t="str">
        <f>"Private Sub "&amp;S2&amp;"_Click()"</f>
        <v>Private Sub mic1_2_Click()</v>
      </c>
    </row>
    <row r="14" spans="1:23" x14ac:dyDescent="0.2">
      <c r="A14" s="106">
        <v>2</v>
      </c>
      <c r="B14" s="106" t="s">
        <v>315</v>
      </c>
      <c r="C14" s="106" t="s">
        <v>307</v>
      </c>
      <c r="D14" s="106">
        <v>360</v>
      </c>
      <c r="F14">
        <v>360</v>
      </c>
      <c r="J14" s="107" t="s">
        <v>331</v>
      </c>
      <c r="K14" s="107" t="str">
        <f t="shared" si="2"/>
        <v>dim shape_mod1_13 as shape</v>
      </c>
      <c r="L14" s="107" t="str">
        <f t="shared" si="3"/>
        <v>Set mod1_13 = ActiveSheet.Shapes("mod1_13")</v>
      </c>
      <c r="M14">
        <v>1</v>
      </c>
      <c r="Q14">
        <f t="shared" si="4"/>
        <v>4</v>
      </c>
      <c r="R14">
        <v>2</v>
      </c>
      <c r="S14" t="str">
        <f t="shared" si="0"/>
        <v>mic4_2</v>
      </c>
      <c r="T14" t="str">
        <f t="shared" si="1"/>
        <v>.mic4_2.value = True</v>
      </c>
    </row>
    <row r="15" spans="1:23" x14ac:dyDescent="0.2">
      <c r="A15">
        <v>3</v>
      </c>
      <c r="B15" t="s">
        <v>310</v>
      </c>
      <c r="C15" t="s">
        <v>307</v>
      </c>
      <c r="D15">
        <f>F15-E15</f>
        <v>137</v>
      </c>
      <c r="E15">
        <v>5</v>
      </c>
      <c r="F15">
        <v>142</v>
      </c>
      <c r="J15" s="107" t="s">
        <v>332</v>
      </c>
      <c r="K15" s="107" t="str">
        <f t="shared" si="2"/>
        <v>dim shape_mod1_14 as shape</v>
      </c>
      <c r="L15" s="107" t="str">
        <f t="shared" si="3"/>
        <v>Set mod1_14 = ActiveSheet.Shapes("mod1_14")</v>
      </c>
      <c r="M15">
        <v>1</v>
      </c>
      <c r="Q15">
        <f t="shared" si="4"/>
        <v>4</v>
      </c>
      <c r="R15">
        <v>3</v>
      </c>
      <c r="S15" t="str">
        <f t="shared" si="0"/>
        <v>mic4_3</v>
      </c>
      <c r="T15" t="str">
        <f t="shared" si="1"/>
        <v>.mic4_3.value = True</v>
      </c>
      <c r="W15" t="str">
        <f>"    If Me."&amp;S2&amp;".Value = True Then"</f>
        <v xml:space="preserve">    If Me.mic1_2.Value = True Then</v>
      </c>
    </row>
    <row r="16" spans="1:23" x14ac:dyDescent="0.2">
      <c r="A16">
        <v>3</v>
      </c>
      <c r="B16" t="s">
        <v>311</v>
      </c>
      <c r="C16" t="s">
        <v>312</v>
      </c>
      <c r="D16">
        <f t="shared" ref="D16:D54" si="5">F16-E16</f>
        <v>295</v>
      </c>
      <c r="E16">
        <v>5</v>
      </c>
      <c r="F16">
        <v>300</v>
      </c>
      <c r="J16" s="107" t="s">
        <v>333</v>
      </c>
      <c r="K16" s="107" t="str">
        <f t="shared" si="2"/>
        <v>dim shape_mod2_1 as shape</v>
      </c>
      <c r="L16" s="107" t="str">
        <f t="shared" si="3"/>
        <v>Set mod2_1 = ActiveSheet.Shapes("mod2_1")</v>
      </c>
      <c r="M16">
        <v>1</v>
      </c>
      <c r="Q16">
        <f t="shared" si="4"/>
        <v>4</v>
      </c>
      <c r="R16">
        <v>4</v>
      </c>
      <c r="S16" t="str">
        <f t="shared" si="0"/>
        <v>mic4_4</v>
      </c>
      <c r="T16" t="str">
        <f t="shared" si="1"/>
        <v>.mic4_4.value = True</v>
      </c>
      <c r="W16" t="s">
        <v>367</v>
      </c>
    </row>
    <row r="17" spans="1:23" x14ac:dyDescent="0.2">
      <c r="A17">
        <v>3</v>
      </c>
      <c r="B17" t="s">
        <v>313</v>
      </c>
      <c r="C17" t="s">
        <v>312</v>
      </c>
      <c r="D17">
        <f t="shared" si="5"/>
        <v>295</v>
      </c>
      <c r="E17">
        <v>5</v>
      </c>
      <c r="F17">
        <v>300</v>
      </c>
      <c r="J17" s="107" t="s">
        <v>334</v>
      </c>
      <c r="K17" s="107" t="str">
        <f t="shared" si="2"/>
        <v>dim shape_mod2_2 as shape</v>
      </c>
      <c r="L17" s="107" t="str">
        <f t="shared" si="3"/>
        <v>Set mod2_2 = ActiveSheet.Shapes("mod2_2")</v>
      </c>
      <c r="M17">
        <v>1</v>
      </c>
      <c r="Q17">
        <f t="shared" si="4"/>
        <v>5</v>
      </c>
      <c r="R17">
        <v>1</v>
      </c>
      <c r="S17" t="str">
        <f t="shared" si="0"/>
        <v>mic5_1</v>
      </c>
      <c r="T17" t="str">
        <f t="shared" si="1"/>
        <v>.mic5_1.value = True</v>
      </c>
      <c r="W17" t="s">
        <v>368</v>
      </c>
    </row>
    <row r="18" spans="1:23" x14ac:dyDescent="0.2">
      <c r="A18">
        <v>3</v>
      </c>
      <c r="B18" t="s">
        <v>314</v>
      </c>
      <c r="C18" t="s">
        <v>312</v>
      </c>
      <c r="D18">
        <f t="shared" si="5"/>
        <v>317</v>
      </c>
      <c r="E18">
        <v>5</v>
      </c>
      <c r="F18">
        <v>322</v>
      </c>
      <c r="J18" s="107" t="s">
        <v>335</v>
      </c>
      <c r="K18" s="107" t="str">
        <f t="shared" si="2"/>
        <v>dim shape_mod2_3 as shape</v>
      </c>
      <c r="L18" s="107" t="str">
        <f t="shared" si="3"/>
        <v>Set mod2_3 = ActiveSheet.Shapes("mod2_3")</v>
      </c>
      <c r="M18">
        <v>1</v>
      </c>
      <c r="Q18">
        <f t="shared" si="4"/>
        <v>5</v>
      </c>
      <c r="R18">
        <v>2</v>
      </c>
      <c r="S18" t="str">
        <f t="shared" si="0"/>
        <v>mic5_2</v>
      </c>
      <c r="T18" t="str">
        <f t="shared" si="1"/>
        <v>.mic5_2.value = True</v>
      </c>
      <c r="W18" t="s">
        <v>369</v>
      </c>
    </row>
    <row r="19" spans="1:23" x14ac:dyDescent="0.2">
      <c r="A19">
        <v>3</v>
      </c>
      <c r="B19" t="s">
        <v>315</v>
      </c>
      <c r="C19" t="s">
        <v>307</v>
      </c>
      <c r="D19">
        <f t="shared" si="5"/>
        <v>379</v>
      </c>
      <c r="E19">
        <v>5</v>
      </c>
      <c r="F19">
        <v>384</v>
      </c>
      <c r="J19" s="107" t="s">
        <v>336</v>
      </c>
      <c r="K19" s="107" t="str">
        <f t="shared" si="2"/>
        <v>dim shape_mod2_4 as shape</v>
      </c>
      <c r="L19" s="107" t="str">
        <f t="shared" si="3"/>
        <v>Set mod2_4 = ActiveSheet.Shapes("mod2_4")</v>
      </c>
      <c r="M19">
        <v>1</v>
      </c>
      <c r="Q19">
        <f t="shared" si="4"/>
        <v>5</v>
      </c>
      <c r="R19">
        <v>3</v>
      </c>
      <c r="S19" t="str">
        <f t="shared" si="0"/>
        <v>mic5_3</v>
      </c>
      <c r="T19" t="str">
        <f t="shared" si="1"/>
        <v>.mic5_3.value = True</v>
      </c>
      <c r="W19" t="s">
        <v>370</v>
      </c>
    </row>
    <row r="20" spans="1:23" x14ac:dyDescent="0.2">
      <c r="A20">
        <v>4</v>
      </c>
      <c r="B20" t="s">
        <v>310</v>
      </c>
      <c r="C20" t="s">
        <v>307</v>
      </c>
      <c r="D20">
        <f t="shared" si="5"/>
        <v>161</v>
      </c>
      <c r="E20">
        <v>5</v>
      </c>
      <c r="F20">
        <v>166</v>
      </c>
      <c r="J20" s="107" t="s">
        <v>337</v>
      </c>
      <c r="K20" s="107" t="str">
        <f t="shared" si="2"/>
        <v>dim shape_mod2_5 as shape</v>
      </c>
      <c r="L20" s="107" t="str">
        <f t="shared" si="3"/>
        <v>Set mod2_5 = ActiveSheet.Shapes("mod2_5")</v>
      </c>
      <c r="M20">
        <v>1</v>
      </c>
      <c r="Q20">
        <f t="shared" si="4"/>
        <v>5</v>
      </c>
      <c r="R20">
        <v>4</v>
      </c>
      <c r="S20" t="str">
        <f t="shared" si="0"/>
        <v>mic5_4</v>
      </c>
      <c r="T20" t="str">
        <f t="shared" si="1"/>
        <v>.mic5_4.value = True</v>
      </c>
      <c r="W20" t="s">
        <v>371</v>
      </c>
    </row>
    <row r="21" spans="1:23" x14ac:dyDescent="0.2">
      <c r="A21">
        <v>4</v>
      </c>
      <c r="B21" t="s">
        <v>311</v>
      </c>
      <c r="C21" t="s">
        <v>312</v>
      </c>
      <c r="D21">
        <f t="shared" si="5"/>
        <v>319</v>
      </c>
      <c r="E21">
        <v>5</v>
      </c>
      <c r="F21">
        <v>324</v>
      </c>
      <c r="J21" s="107" t="s">
        <v>338</v>
      </c>
      <c r="K21" s="107" t="str">
        <f t="shared" si="2"/>
        <v>dim shape_mod2_6 as shape</v>
      </c>
      <c r="L21" s="107" t="str">
        <f t="shared" si="3"/>
        <v>Set mod2_6 = ActiveSheet.Shapes("mod2_6")</v>
      </c>
      <c r="M21">
        <v>1</v>
      </c>
      <c r="Q21">
        <f t="shared" si="4"/>
        <v>6</v>
      </c>
      <c r="R21">
        <v>1</v>
      </c>
      <c r="S21" t="str">
        <f t="shared" si="0"/>
        <v>mic6_1</v>
      </c>
      <c r="T21" t="str">
        <f t="shared" si="1"/>
        <v>.mic6_1.value = True</v>
      </c>
      <c r="W21" t="s">
        <v>372</v>
      </c>
    </row>
    <row r="22" spans="1:23" x14ac:dyDescent="0.2">
      <c r="A22">
        <v>4</v>
      </c>
      <c r="B22" t="s">
        <v>313</v>
      </c>
      <c r="C22" t="s">
        <v>312</v>
      </c>
      <c r="D22">
        <f t="shared" si="5"/>
        <v>319</v>
      </c>
      <c r="E22">
        <v>5</v>
      </c>
      <c r="F22">
        <v>324</v>
      </c>
      <c r="J22" s="107" t="s">
        <v>339</v>
      </c>
      <c r="K22" s="107" t="str">
        <f t="shared" si="2"/>
        <v>dim shape_mod2_7 as shape</v>
      </c>
      <c r="L22" s="107" t="str">
        <f t="shared" si="3"/>
        <v>Set mod2_7 = ActiveSheet.Shapes("mod2_7")</v>
      </c>
      <c r="M22">
        <v>1</v>
      </c>
      <c r="Q22">
        <f t="shared" si="4"/>
        <v>6</v>
      </c>
      <c r="R22">
        <v>2</v>
      </c>
      <c r="S22" t="str">
        <f t="shared" si="0"/>
        <v>mic6_2</v>
      </c>
      <c r="T22" t="str">
        <f t="shared" si="1"/>
        <v>.mic6_2.value = True</v>
      </c>
    </row>
    <row r="23" spans="1:23" x14ac:dyDescent="0.2">
      <c r="A23">
        <v>4</v>
      </c>
      <c r="B23" t="s">
        <v>314</v>
      </c>
      <c r="C23" t="s">
        <v>312</v>
      </c>
      <c r="D23">
        <f t="shared" si="5"/>
        <v>341</v>
      </c>
      <c r="E23">
        <v>5</v>
      </c>
      <c r="F23">
        <v>346</v>
      </c>
      <c r="J23" s="107" t="s">
        <v>340</v>
      </c>
      <c r="K23" s="107" t="str">
        <f t="shared" si="2"/>
        <v>dim shape_mod2_8 as shape</v>
      </c>
      <c r="L23" s="107" t="str">
        <f t="shared" si="3"/>
        <v>Set mod2_8 = ActiveSheet.Shapes("mod2_8")</v>
      </c>
      <c r="M23">
        <v>1</v>
      </c>
      <c r="Q23">
        <f t="shared" si="4"/>
        <v>6</v>
      </c>
      <c r="R23">
        <v>3</v>
      </c>
      <c r="S23" t="str">
        <f t="shared" si="0"/>
        <v>mic6_3</v>
      </c>
      <c r="T23" t="str">
        <f t="shared" si="1"/>
        <v>.mic6_3.value = True</v>
      </c>
      <c r="W23" t="s">
        <v>373</v>
      </c>
    </row>
    <row r="24" spans="1:23" x14ac:dyDescent="0.2">
      <c r="A24">
        <v>4</v>
      </c>
      <c r="B24" t="s">
        <v>315</v>
      </c>
      <c r="C24" t="s">
        <v>307</v>
      </c>
      <c r="D24">
        <f t="shared" si="5"/>
        <v>403</v>
      </c>
      <c r="E24">
        <v>5</v>
      </c>
      <c r="F24">
        <v>408</v>
      </c>
      <c r="J24" s="107" t="s">
        <v>341</v>
      </c>
      <c r="K24" s="107" t="str">
        <f t="shared" si="2"/>
        <v>dim shape_mod2_9 as shape</v>
      </c>
      <c r="L24" s="107" t="str">
        <f t="shared" si="3"/>
        <v>Set mod2_9 = ActiveSheet.Shapes("mod2_9")</v>
      </c>
      <c r="M24">
        <v>1</v>
      </c>
      <c r="Q24">
        <f t="shared" si="4"/>
        <v>6</v>
      </c>
      <c r="R24">
        <v>4</v>
      </c>
      <c r="S24" t="str">
        <f t="shared" si="0"/>
        <v>mic6_4</v>
      </c>
      <c r="T24" t="str">
        <f t="shared" si="1"/>
        <v>.mic6_4.value = True</v>
      </c>
    </row>
    <row r="25" spans="1:23" x14ac:dyDescent="0.2">
      <c r="A25">
        <v>5</v>
      </c>
      <c r="B25" t="s">
        <v>310</v>
      </c>
      <c r="C25" t="s">
        <v>307</v>
      </c>
      <c r="D25">
        <f t="shared" si="5"/>
        <v>185</v>
      </c>
      <c r="E25">
        <v>5</v>
      </c>
      <c r="F25">
        <v>190</v>
      </c>
      <c r="J25" s="107" t="s">
        <v>342</v>
      </c>
      <c r="K25" s="107" t="str">
        <f t="shared" si="2"/>
        <v>dim shape_mod2_10 as shape</v>
      </c>
      <c r="L25" s="107" t="str">
        <f t="shared" si="3"/>
        <v>Set mod2_10 = ActiveSheet.Shapes("mod2_10")</v>
      </c>
      <c r="M25">
        <v>1</v>
      </c>
      <c r="Q25">
        <f t="shared" si="4"/>
        <v>7</v>
      </c>
      <c r="R25">
        <v>1</v>
      </c>
      <c r="S25" t="str">
        <f t="shared" si="0"/>
        <v>mic7_1</v>
      </c>
      <c r="T25" t="str">
        <f t="shared" si="1"/>
        <v>.mic7_1.value = True</v>
      </c>
      <c r="W25" t="str">
        <f>"Private Sub "&amp;S14&amp;"_Click()"</f>
        <v>Private Sub mic4_2_Click()</v>
      </c>
    </row>
    <row r="26" spans="1:23" x14ac:dyDescent="0.2">
      <c r="A26">
        <v>5</v>
      </c>
      <c r="B26" t="s">
        <v>311</v>
      </c>
      <c r="C26" t="s">
        <v>312</v>
      </c>
      <c r="D26">
        <f t="shared" si="5"/>
        <v>343</v>
      </c>
      <c r="E26">
        <v>5</v>
      </c>
      <c r="F26">
        <v>348</v>
      </c>
      <c r="J26" s="107" t="s">
        <v>343</v>
      </c>
      <c r="K26" s="107" t="str">
        <f t="shared" si="2"/>
        <v>dim shape_mod2_11 as shape</v>
      </c>
      <c r="L26" s="107" t="str">
        <f t="shared" si="3"/>
        <v>Set mod2_11 = ActiveSheet.Shapes("mod2_11")</v>
      </c>
      <c r="M26">
        <v>1</v>
      </c>
      <c r="Q26">
        <f t="shared" si="4"/>
        <v>7</v>
      </c>
      <c r="R26">
        <v>2</v>
      </c>
      <c r="S26" t="str">
        <f t="shared" si="0"/>
        <v>mic7_2</v>
      </c>
      <c r="T26" t="str">
        <f t="shared" si="1"/>
        <v>.mic7_2.value = True</v>
      </c>
    </row>
    <row r="27" spans="1:23" x14ac:dyDescent="0.2">
      <c r="A27">
        <v>5</v>
      </c>
      <c r="B27" t="s">
        <v>313</v>
      </c>
      <c r="C27" t="s">
        <v>312</v>
      </c>
      <c r="D27">
        <f t="shared" si="5"/>
        <v>343</v>
      </c>
      <c r="E27">
        <v>5</v>
      </c>
      <c r="F27">
        <v>348</v>
      </c>
      <c r="J27" s="107" t="s">
        <v>344</v>
      </c>
      <c r="K27" s="107" t="str">
        <f t="shared" si="2"/>
        <v>dim shape_mod2_12 as shape</v>
      </c>
      <c r="L27" s="107" t="str">
        <f t="shared" si="3"/>
        <v>Set mod2_12 = ActiveSheet.Shapes("mod2_12")</v>
      </c>
      <c r="M27">
        <v>1</v>
      </c>
      <c r="Q27">
        <f t="shared" si="4"/>
        <v>7</v>
      </c>
      <c r="R27">
        <v>3</v>
      </c>
      <c r="S27" t="str">
        <f t="shared" si="0"/>
        <v>mic7_3</v>
      </c>
      <c r="T27" t="str">
        <f t="shared" si="1"/>
        <v>.mic7_3.value = True</v>
      </c>
      <c r="W27" t="str">
        <f>"    If Me."&amp;S14&amp;".Value = True Then"</f>
        <v xml:space="preserve">    If Me.mic4_2.Value = True Then</v>
      </c>
    </row>
    <row r="28" spans="1:23" x14ac:dyDescent="0.2">
      <c r="A28">
        <v>5</v>
      </c>
      <c r="B28" t="s">
        <v>314</v>
      </c>
      <c r="C28" t="s">
        <v>312</v>
      </c>
      <c r="D28">
        <f t="shared" si="5"/>
        <v>365</v>
      </c>
      <c r="E28">
        <v>5</v>
      </c>
      <c r="F28">
        <v>370</v>
      </c>
      <c r="J28" s="107" t="s">
        <v>345</v>
      </c>
      <c r="K28" s="107" t="str">
        <f t="shared" si="2"/>
        <v>dim shape_mod2_13 as shape</v>
      </c>
      <c r="L28" s="107" t="str">
        <f t="shared" si="3"/>
        <v>Set mod2_13 = ActiveSheet.Shapes("mod2_13")</v>
      </c>
      <c r="M28">
        <v>1</v>
      </c>
      <c r="Q28">
        <f t="shared" si="4"/>
        <v>7</v>
      </c>
      <c r="R28">
        <v>4</v>
      </c>
      <c r="S28" t="str">
        <f t="shared" si="0"/>
        <v>mic7_4</v>
      </c>
      <c r="T28" t="str">
        <f t="shared" si="1"/>
        <v>.mic7_4.value = True</v>
      </c>
      <c r="W28" t="s">
        <v>367</v>
      </c>
    </row>
    <row r="29" spans="1:23" x14ac:dyDescent="0.2">
      <c r="A29">
        <v>5</v>
      </c>
      <c r="B29" t="s">
        <v>315</v>
      </c>
      <c r="C29" t="s">
        <v>307</v>
      </c>
      <c r="D29">
        <f t="shared" si="5"/>
        <v>427</v>
      </c>
      <c r="E29">
        <v>5</v>
      </c>
      <c r="F29">
        <v>432</v>
      </c>
      <c r="J29" s="107" t="s">
        <v>346</v>
      </c>
      <c r="K29" s="107" t="str">
        <f t="shared" si="2"/>
        <v>dim shape_mod2_14 as shape</v>
      </c>
      <c r="L29" s="107" t="str">
        <f t="shared" si="3"/>
        <v>Set mod2_14 = ActiveSheet.Shapes("mod2_14")</v>
      </c>
      <c r="M29">
        <v>1</v>
      </c>
      <c r="Q29">
        <f t="shared" si="4"/>
        <v>8</v>
      </c>
      <c r="R29">
        <v>1</v>
      </c>
      <c r="S29" t="str">
        <f t="shared" si="0"/>
        <v>mic8_1</v>
      </c>
      <c r="T29" t="str">
        <f t="shared" si="1"/>
        <v>.mic8_1.value = True</v>
      </c>
      <c r="W29" t="s">
        <v>368</v>
      </c>
    </row>
    <row r="30" spans="1:23" x14ac:dyDescent="0.2">
      <c r="A30">
        <v>6</v>
      </c>
      <c r="B30" t="s">
        <v>310</v>
      </c>
      <c r="C30" t="s">
        <v>307</v>
      </c>
      <c r="D30">
        <f t="shared" si="5"/>
        <v>206</v>
      </c>
      <c r="E30">
        <v>8</v>
      </c>
      <c r="F30">
        <v>214</v>
      </c>
      <c r="J30" s="107" t="s">
        <v>347</v>
      </c>
      <c r="K30" s="107" t="str">
        <f t="shared" si="2"/>
        <v>dim shape_mod3_1 as shape</v>
      </c>
      <c r="L30" s="107" t="str">
        <f t="shared" si="3"/>
        <v>Set mod3_1 = ActiveSheet.Shapes("mod3_1")</v>
      </c>
      <c r="M30">
        <v>1</v>
      </c>
      <c r="Q30">
        <f t="shared" si="4"/>
        <v>8</v>
      </c>
      <c r="R30">
        <v>2</v>
      </c>
      <c r="S30" t="str">
        <f t="shared" si="0"/>
        <v>mic8_2</v>
      </c>
      <c r="T30" t="str">
        <f t="shared" si="1"/>
        <v>.mic8_2.value = True</v>
      </c>
      <c r="W30" t="s">
        <v>369</v>
      </c>
    </row>
    <row r="31" spans="1:23" x14ac:dyDescent="0.2">
      <c r="A31">
        <v>6</v>
      </c>
      <c r="B31" t="s">
        <v>311</v>
      </c>
      <c r="C31" t="s">
        <v>312</v>
      </c>
      <c r="D31">
        <f t="shared" si="5"/>
        <v>364</v>
      </c>
      <c r="E31">
        <v>8</v>
      </c>
      <c r="F31">
        <v>372</v>
      </c>
      <c r="J31" s="107" t="s">
        <v>348</v>
      </c>
      <c r="K31" s="107" t="str">
        <f t="shared" si="2"/>
        <v>dim shape_mod3_2 as shape</v>
      </c>
      <c r="L31" s="107" t="str">
        <f t="shared" si="3"/>
        <v>Set mod3_2 = ActiveSheet.Shapes("mod3_2")</v>
      </c>
      <c r="M31">
        <v>1</v>
      </c>
      <c r="Q31">
        <f t="shared" si="4"/>
        <v>8</v>
      </c>
      <c r="R31">
        <v>3</v>
      </c>
      <c r="S31" t="str">
        <f t="shared" si="0"/>
        <v>mic8_3</v>
      </c>
      <c r="T31" t="str">
        <f t="shared" si="1"/>
        <v>.mic8_3.value = True</v>
      </c>
      <c r="W31" t="s">
        <v>370</v>
      </c>
    </row>
    <row r="32" spans="1:23" x14ac:dyDescent="0.2">
      <c r="A32">
        <v>6</v>
      </c>
      <c r="B32" t="s">
        <v>313</v>
      </c>
      <c r="C32" t="s">
        <v>312</v>
      </c>
      <c r="D32">
        <f t="shared" si="5"/>
        <v>364</v>
      </c>
      <c r="E32">
        <v>8</v>
      </c>
      <c r="F32">
        <v>372</v>
      </c>
      <c r="J32" s="107" t="s">
        <v>349</v>
      </c>
      <c r="K32" s="107" t="str">
        <f t="shared" si="2"/>
        <v>dim shape_mod3_3 as shape</v>
      </c>
      <c r="L32" s="107" t="str">
        <f t="shared" si="3"/>
        <v>Set mod3_3 = ActiveSheet.Shapes("mod3_3")</v>
      </c>
      <c r="M32">
        <v>1</v>
      </c>
      <c r="Q32">
        <f t="shared" si="4"/>
        <v>8</v>
      </c>
      <c r="R32">
        <v>4</v>
      </c>
      <c r="S32" t="str">
        <f t="shared" si="0"/>
        <v>mic8_4</v>
      </c>
      <c r="T32" t="str">
        <f t="shared" si="1"/>
        <v>.mic8_4.value = True</v>
      </c>
      <c r="W32" t="s">
        <v>371</v>
      </c>
    </row>
    <row r="33" spans="1:23" x14ac:dyDescent="0.2">
      <c r="A33">
        <v>6</v>
      </c>
      <c r="B33" t="s">
        <v>314</v>
      </c>
      <c r="C33" t="s">
        <v>312</v>
      </c>
      <c r="D33">
        <f t="shared" si="5"/>
        <v>386</v>
      </c>
      <c r="E33">
        <v>8</v>
      </c>
      <c r="F33">
        <v>394</v>
      </c>
      <c r="J33" s="107" t="s">
        <v>350</v>
      </c>
      <c r="K33" s="107" t="str">
        <f t="shared" si="2"/>
        <v>dim shape_mod3_4 as shape</v>
      </c>
      <c r="L33" s="107" t="str">
        <f t="shared" si="3"/>
        <v>Set mod3_4 = ActiveSheet.Shapes("mod3_4")</v>
      </c>
      <c r="M33">
        <v>1</v>
      </c>
      <c r="Q33">
        <f t="shared" si="4"/>
        <v>9</v>
      </c>
      <c r="R33">
        <v>1</v>
      </c>
      <c r="S33" t="str">
        <f t="shared" si="0"/>
        <v>mic9_1</v>
      </c>
      <c r="T33" t="str">
        <f t="shared" si="1"/>
        <v>.mic9_1.value = True</v>
      </c>
      <c r="W33" t="s">
        <v>372</v>
      </c>
    </row>
    <row r="34" spans="1:23" x14ac:dyDescent="0.2">
      <c r="A34">
        <v>6</v>
      </c>
      <c r="B34" t="s">
        <v>315</v>
      </c>
      <c r="C34" t="s">
        <v>307</v>
      </c>
      <c r="D34">
        <f t="shared" si="5"/>
        <v>448</v>
      </c>
      <c r="E34">
        <v>8</v>
      </c>
      <c r="F34">
        <v>456</v>
      </c>
      <c r="J34" s="107" t="s">
        <v>351</v>
      </c>
      <c r="K34" s="107" t="str">
        <f t="shared" si="2"/>
        <v>dim shape_mod3_5 as shape</v>
      </c>
      <c r="L34" s="107" t="str">
        <f t="shared" si="3"/>
        <v>Set mod3_5 = ActiveSheet.Shapes("mod3_5")</v>
      </c>
      <c r="M34">
        <v>1</v>
      </c>
      <c r="Q34">
        <f t="shared" si="4"/>
        <v>9</v>
      </c>
      <c r="R34">
        <v>2</v>
      </c>
      <c r="S34" t="str">
        <f t="shared" si="0"/>
        <v>mic9_2</v>
      </c>
      <c r="T34" t="str">
        <f t="shared" si="1"/>
        <v>.mic9_2.value = True</v>
      </c>
    </row>
    <row r="35" spans="1:23" x14ac:dyDescent="0.2">
      <c r="A35">
        <v>7</v>
      </c>
      <c r="B35" t="s">
        <v>310</v>
      </c>
      <c r="C35" t="s">
        <v>307</v>
      </c>
      <c r="D35">
        <f t="shared" si="5"/>
        <v>226</v>
      </c>
      <c r="E35">
        <v>12</v>
      </c>
      <c r="F35">
        <v>238</v>
      </c>
      <c r="J35" s="107" t="s">
        <v>352</v>
      </c>
      <c r="K35" s="107" t="str">
        <f t="shared" si="2"/>
        <v>dim shape_mod3_6 as shape</v>
      </c>
      <c r="L35" s="107" t="str">
        <f t="shared" si="3"/>
        <v>Set mod3_6 = ActiveSheet.Shapes("mod3_6")</v>
      </c>
      <c r="M35">
        <v>1</v>
      </c>
      <c r="Q35">
        <f t="shared" si="4"/>
        <v>9</v>
      </c>
      <c r="R35">
        <v>3</v>
      </c>
      <c r="S35" t="str">
        <f t="shared" si="0"/>
        <v>mic9_3</v>
      </c>
      <c r="T35" t="str">
        <f t="shared" si="1"/>
        <v>.mic9_3.value = True</v>
      </c>
      <c r="W35" t="s">
        <v>373</v>
      </c>
    </row>
    <row r="36" spans="1:23" x14ac:dyDescent="0.2">
      <c r="A36">
        <v>7</v>
      </c>
      <c r="B36" t="s">
        <v>311</v>
      </c>
      <c r="C36" t="s">
        <v>312</v>
      </c>
      <c r="D36">
        <f t="shared" si="5"/>
        <v>384</v>
      </c>
      <c r="E36">
        <v>12</v>
      </c>
      <c r="F36">
        <v>396</v>
      </c>
      <c r="J36" s="107" t="s">
        <v>353</v>
      </c>
      <c r="K36" s="107" t="str">
        <f t="shared" si="2"/>
        <v>dim shape_mod3_7 as shape</v>
      </c>
      <c r="L36" s="107" t="str">
        <f t="shared" si="3"/>
        <v>Set mod3_7 = ActiveSheet.Shapes("mod3_7")</v>
      </c>
      <c r="M36">
        <v>1</v>
      </c>
      <c r="Q36">
        <f t="shared" si="4"/>
        <v>9</v>
      </c>
      <c r="R36">
        <v>4</v>
      </c>
      <c r="S36" t="str">
        <f t="shared" si="0"/>
        <v>mic9_4</v>
      </c>
      <c r="T36" t="str">
        <f t="shared" si="1"/>
        <v>.mic9_4.value = True</v>
      </c>
    </row>
    <row r="37" spans="1:23" x14ac:dyDescent="0.2">
      <c r="A37">
        <v>7</v>
      </c>
      <c r="B37" t="s">
        <v>313</v>
      </c>
      <c r="C37" t="s">
        <v>312</v>
      </c>
      <c r="D37">
        <f t="shared" si="5"/>
        <v>384</v>
      </c>
      <c r="E37">
        <v>12</v>
      </c>
      <c r="F37">
        <v>396</v>
      </c>
      <c r="J37" s="107" t="s">
        <v>354</v>
      </c>
      <c r="K37" s="107" t="str">
        <f t="shared" si="2"/>
        <v>dim shape_mod3_8 as shape</v>
      </c>
      <c r="L37" s="107" t="str">
        <f t="shared" si="3"/>
        <v>Set mod3_8 = ActiveSheet.Shapes("mod3_8")</v>
      </c>
      <c r="M37">
        <v>1</v>
      </c>
      <c r="Q37">
        <f t="shared" si="4"/>
        <v>10</v>
      </c>
      <c r="R37">
        <v>1</v>
      </c>
      <c r="S37" t="str">
        <f t="shared" si="0"/>
        <v>mic10_1</v>
      </c>
      <c r="T37" t="str">
        <f t="shared" si="1"/>
        <v>.mic10_1.value = True</v>
      </c>
    </row>
    <row r="38" spans="1:23" x14ac:dyDescent="0.2">
      <c r="A38">
        <v>7</v>
      </c>
      <c r="B38" t="s">
        <v>314</v>
      </c>
      <c r="C38" t="s">
        <v>312</v>
      </c>
      <c r="D38">
        <f t="shared" si="5"/>
        <v>406</v>
      </c>
      <c r="E38">
        <v>12</v>
      </c>
      <c r="F38">
        <v>418</v>
      </c>
      <c r="J38" s="107" t="s">
        <v>355</v>
      </c>
      <c r="K38" s="107" t="str">
        <f t="shared" si="2"/>
        <v>dim shape_mod3_9 as shape</v>
      </c>
      <c r="L38" s="107" t="str">
        <f t="shared" si="3"/>
        <v>Set mod3_9 = ActiveSheet.Shapes("mod3_9")</v>
      </c>
      <c r="M38">
        <v>1</v>
      </c>
      <c r="Q38">
        <f t="shared" si="4"/>
        <v>10</v>
      </c>
      <c r="R38">
        <v>2</v>
      </c>
      <c r="S38" t="str">
        <f t="shared" si="0"/>
        <v>mic10_2</v>
      </c>
      <c r="T38" t="str">
        <f t="shared" si="1"/>
        <v>.mic10_2.value = True</v>
      </c>
    </row>
    <row r="39" spans="1:23" x14ac:dyDescent="0.2">
      <c r="A39">
        <v>7</v>
      </c>
      <c r="B39" t="s">
        <v>315</v>
      </c>
      <c r="C39" t="s">
        <v>307</v>
      </c>
      <c r="D39">
        <f t="shared" si="5"/>
        <v>468</v>
      </c>
      <c r="E39">
        <v>12</v>
      </c>
      <c r="F39">
        <v>480</v>
      </c>
      <c r="J39" s="107" t="s">
        <v>356</v>
      </c>
      <c r="K39" s="107" t="str">
        <f t="shared" si="2"/>
        <v>dim shape_mod3_10 as shape</v>
      </c>
      <c r="L39" s="107" t="str">
        <f t="shared" si="3"/>
        <v>Set mod3_10 = ActiveSheet.Shapes("mod3_10")</v>
      </c>
      <c r="M39">
        <v>1</v>
      </c>
      <c r="Q39">
        <f t="shared" si="4"/>
        <v>10</v>
      </c>
      <c r="R39">
        <v>3</v>
      </c>
      <c r="S39" t="str">
        <f t="shared" si="0"/>
        <v>mic10_3</v>
      </c>
      <c r="T39" t="str">
        <f t="shared" si="1"/>
        <v>.mic10_3.value = True</v>
      </c>
    </row>
    <row r="40" spans="1:23" x14ac:dyDescent="0.2">
      <c r="A40">
        <v>8</v>
      </c>
      <c r="B40" t="s">
        <v>310</v>
      </c>
      <c r="C40" t="s">
        <v>307</v>
      </c>
      <c r="D40">
        <f t="shared" si="5"/>
        <v>250</v>
      </c>
      <c r="E40">
        <v>12</v>
      </c>
      <c r="F40">
        <v>262</v>
      </c>
      <c r="J40" s="107" t="s">
        <v>357</v>
      </c>
      <c r="K40" s="107" t="str">
        <f t="shared" si="2"/>
        <v>dim shape_mod3_11 as shape</v>
      </c>
      <c r="L40" s="107" t="str">
        <f t="shared" si="3"/>
        <v>Set mod3_11 = ActiveSheet.Shapes("mod3_11")</v>
      </c>
      <c r="M40">
        <v>1</v>
      </c>
      <c r="Q40">
        <f t="shared" si="4"/>
        <v>10</v>
      </c>
      <c r="R40">
        <v>4</v>
      </c>
      <c r="S40" t="str">
        <f t="shared" si="0"/>
        <v>mic10_4</v>
      </c>
      <c r="T40" t="str">
        <f t="shared" si="1"/>
        <v>.mic10_4.value = True</v>
      </c>
    </row>
    <row r="41" spans="1:23" x14ac:dyDescent="0.2">
      <c r="A41">
        <v>8</v>
      </c>
      <c r="B41" t="s">
        <v>311</v>
      </c>
      <c r="C41" t="s">
        <v>312</v>
      </c>
      <c r="D41">
        <f t="shared" si="5"/>
        <v>408</v>
      </c>
      <c r="E41">
        <v>12</v>
      </c>
      <c r="F41">
        <v>420</v>
      </c>
      <c r="J41" s="107" t="s">
        <v>358</v>
      </c>
      <c r="K41" s="107" t="str">
        <f t="shared" si="2"/>
        <v>dim shape_mod3_12 as shape</v>
      </c>
      <c r="L41" s="107" t="str">
        <f t="shared" si="3"/>
        <v>Set mod3_12 = ActiveSheet.Shapes("mod3_12")</v>
      </c>
      <c r="M41">
        <v>1</v>
      </c>
    </row>
    <row r="42" spans="1:23" x14ac:dyDescent="0.2">
      <c r="A42">
        <v>8</v>
      </c>
      <c r="B42" t="s">
        <v>313</v>
      </c>
      <c r="C42" t="s">
        <v>312</v>
      </c>
      <c r="D42">
        <f t="shared" si="5"/>
        <v>408</v>
      </c>
      <c r="E42">
        <v>12</v>
      </c>
      <c r="F42">
        <v>420</v>
      </c>
      <c r="J42" s="107" t="s">
        <v>359</v>
      </c>
      <c r="K42" s="107" t="str">
        <f t="shared" si="2"/>
        <v>dim shape_mod3_13 as shape</v>
      </c>
      <c r="L42" s="107" t="str">
        <f t="shared" si="3"/>
        <v>Set mod3_13 = ActiveSheet.Shapes("mod3_13")</v>
      </c>
      <c r="M42">
        <v>1</v>
      </c>
    </row>
    <row r="43" spans="1:23" x14ac:dyDescent="0.2">
      <c r="A43">
        <v>8</v>
      </c>
      <c r="B43" t="s">
        <v>314</v>
      </c>
      <c r="C43" t="s">
        <v>312</v>
      </c>
      <c r="D43">
        <f t="shared" si="5"/>
        <v>430</v>
      </c>
      <c r="E43">
        <v>12</v>
      </c>
      <c r="F43">
        <v>442</v>
      </c>
      <c r="J43" s="107" t="s">
        <v>360</v>
      </c>
      <c r="K43" s="107" t="str">
        <f t="shared" si="2"/>
        <v>dim shape_mod3_14 as shape</v>
      </c>
      <c r="L43" s="107" t="str">
        <f t="shared" si="3"/>
        <v>Set mod3_14 = ActiveSheet.Shapes("mod3_14")</v>
      </c>
      <c r="M43">
        <v>1</v>
      </c>
    </row>
    <row r="44" spans="1:23" x14ac:dyDescent="0.2">
      <c r="A44">
        <v>8</v>
      </c>
      <c r="B44" t="s">
        <v>315</v>
      </c>
      <c r="C44" t="s">
        <v>307</v>
      </c>
      <c r="D44">
        <f t="shared" si="5"/>
        <v>492</v>
      </c>
      <c r="E44">
        <v>12</v>
      </c>
      <c r="F44">
        <v>504</v>
      </c>
      <c r="H44">
        <v>1</v>
      </c>
      <c r="I44">
        <v>4</v>
      </c>
      <c r="J44" s="107" t="str">
        <f>"mod"&amp;I44&amp;"_"&amp;H44</f>
        <v>mod4_1</v>
      </c>
      <c r="K44" s="107" t="str">
        <f t="shared" si="2"/>
        <v>dim shape_mod4_1 as shape</v>
      </c>
      <c r="L44" s="107" t="str">
        <f t="shared" si="3"/>
        <v>Set mod4_1 = ActiveSheet.Shapes("mod4_1")</v>
      </c>
      <c r="M44">
        <v>1</v>
      </c>
    </row>
    <row r="45" spans="1:23" x14ac:dyDescent="0.2">
      <c r="A45">
        <v>9</v>
      </c>
      <c r="B45" t="s">
        <v>310</v>
      </c>
      <c r="C45" t="s">
        <v>307</v>
      </c>
      <c r="D45">
        <f t="shared" si="5"/>
        <v>268</v>
      </c>
      <c r="E45">
        <v>18</v>
      </c>
      <c r="F45">
        <v>286</v>
      </c>
      <c r="H45">
        <v>2</v>
      </c>
      <c r="I45">
        <v>4</v>
      </c>
      <c r="J45" s="107" t="str">
        <f t="shared" ref="J45:J108" si="6">"mod"&amp;I45&amp;"_"&amp;H45</f>
        <v>mod4_2</v>
      </c>
      <c r="K45" s="107" t="str">
        <f t="shared" si="2"/>
        <v>dim shape_mod4_2 as shape</v>
      </c>
      <c r="L45" s="107" t="str">
        <f t="shared" si="3"/>
        <v>Set mod4_2 = ActiveSheet.Shapes("mod4_2")</v>
      </c>
      <c r="M45">
        <v>1</v>
      </c>
    </row>
    <row r="46" spans="1:23" x14ac:dyDescent="0.2">
      <c r="A46">
        <v>9</v>
      </c>
      <c r="B46" t="s">
        <v>311</v>
      </c>
      <c r="C46" t="s">
        <v>312</v>
      </c>
      <c r="D46">
        <f t="shared" si="5"/>
        <v>426</v>
      </c>
      <c r="E46">
        <v>18</v>
      </c>
      <c r="F46">
        <v>444</v>
      </c>
      <c r="H46">
        <v>3</v>
      </c>
      <c r="I46">
        <v>4</v>
      </c>
      <c r="J46" s="107" t="str">
        <f t="shared" si="6"/>
        <v>mod4_3</v>
      </c>
      <c r="K46" s="107" t="str">
        <f t="shared" si="2"/>
        <v>dim shape_mod4_3 as shape</v>
      </c>
      <c r="L46" s="107" t="str">
        <f t="shared" si="3"/>
        <v>Set mod4_3 = ActiveSheet.Shapes("mod4_3")</v>
      </c>
      <c r="M46">
        <v>1</v>
      </c>
    </row>
    <row r="47" spans="1:23" x14ac:dyDescent="0.2">
      <c r="A47">
        <v>9</v>
      </c>
      <c r="B47" t="s">
        <v>313</v>
      </c>
      <c r="C47" t="s">
        <v>312</v>
      </c>
      <c r="D47">
        <f t="shared" si="5"/>
        <v>426</v>
      </c>
      <c r="E47">
        <v>18</v>
      </c>
      <c r="F47">
        <v>444</v>
      </c>
      <c r="H47">
        <v>4</v>
      </c>
      <c r="I47">
        <v>4</v>
      </c>
      <c r="J47" s="107" t="str">
        <f t="shared" si="6"/>
        <v>mod4_4</v>
      </c>
      <c r="K47" s="107" t="str">
        <f t="shared" si="2"/>
        <v>dim shape_mod4_4 as shape</v>
      </c>
      <c r="L47" s="107" t="str">
        <f t="shared" si="3"/>
        <v>Set mod4_4 = ActiveSheet.Shapes("mod4_4")</v>
      </c>
      <c r="M47">
        <v>1</v>
      </c>
    </row>
    <row r="48" spans="1:23" x14ac:dyDescent="0.2">
      <c r="A48">
        <v>9</v>
      </c>
      <c r="B48" t="s">
        <v>314</v>
      </c>
      <c r="C48" t="s">
        <v>312</v>
      </c>
      <c r="D48">
        <f t="shared" si="5"/>
        <v>448</v>
      </c>
      <c r="E48">
        <v>18</v>
      </c>
      <c r="F48">
        <v>466</v>
      </c>
      <c r="H48">
        <v>5</v>
      </c>
      <c r="I48">
        <v>4</v>
      </c>
      <c r="J48" s="107" t="str">
        <f t="shared" si="6"/>
        <v>mod4_5</v>
      </c>
      <c r="K48" s="107" t="str">
        <f t="shared" si="2"/>
        <v>dim shape_mod4_5 as shape</v>
      </c>
      <c r="L48" s="107" t="str">
        <f t="shared" si="3"/>
        <v>Set mod4_5 = ActiveSheet.Shapes("mod4_5")</v>
      </c>
      <c r="M48">
        <v>1</v>
      </c>
    </row>
    <row r="49" spans="1:13" x14ac:dyDescent="0.2">
      <c r="A49">
        <v>9</v>
      </c>
      <c r="B49" t="s">
        <v>315</v>
      </c>
      <c r="C49" t="s">
        <v>307</v>
      </c>
      <c r="D49">
        <f t="shared" si="5"/>
        <v>510</v>
      </c>
      <c r="E49">
        <v>18</v>
      </c>
      <c r="F49">
        <v>528</v>
      </c>
      <c r="H49">
        <v>6</v>
      </c>
      <c r="I49">
        <v>4</v>
      </c>
      <c r="J49" s="107" t="str">
        <f t="shared" si="6"/>
        <v>mod4_6</v>
      </c>
      <c r="K49" s="107" t="str">
        <f t="shared" si="2"/>
        <v>dim shape_mod4_6 as shape</v>
      </c>
      <c r="L49" s="107" t="str">
        <f t="shared" si="3"/>
        <v>Set mod4_6 = ActiveSheet.Shapes("mod4_6")</v>
      </c>
      <c r="M49">
        <v>1</v>
      </c>
    </row>
    <row r="50" spans="1:13" x14ac:dyDescent="0.2">
      <c r="A50">
        <v>10</v>
      </c>
      <c r="B50" t="s">
        <v>310</v>
      </c>
      <c r="C50" t="s">
        <v>307</v>
      </c>
      <c r="D50">
        <f t="shared" si="5"/>
        <v>292</v>
      </c>
      <c r="E50">
        <v>18</v>
      </c>
      <c r="F50">
        <v>310</v>
      </c>
      <c r="H50">
        <v>7</v>
      </c>
      <c r="I50">
        <v>4</v>
      </c>
      <c r="J50" s="107" t="str">
        <f t="shared" si="6"/>
        <v>mod4_7</v>
      </c>
      <c r="K50" s="107" t="str">
        <f t="shared" si="2"/>
        <v>dim shape_mod4_7 as shape</v>
      </c>
      <c r="L50" s="107" t="str">
        <f t="shared" si="3"/>
        <v>Set mod4_7 = ActiveSheet.Shapes("mod4_7")</v>
      </c>
      <c r="M50">
        <v>1</v>
      </c>
    </row>
    <row r="51" spans="1:13" x14ac:dyDescent="0.2">
      <c r="A51">
        <v>10</v>
      </c>
      <c r="B51" t="s">
        <v>311</v>
      </c>
      <c r="C51" t="s">
        <v>312</v>
      </c>
      <c r="D51">
        <f t="shared" si="5"/>
        <v>450</v>
      </c>
      <c r="E51">
        <v>18</v>
      </c>
      <c r="F51">
        <v>468</v>
      </c>
      <c r="H51">
        <v>8</v>
      </c>
      <c r="I51">
        <v>4</v>
      </c>
      <c r="J51" s="107" t="str">
        <f t="shared" si="6"/>
        <v>mod4_8</v>
      </c>
      <c r="K51" s="107" t="str">
        <f t="shared" si="2"/>
        <v>dim shape_mod4_8 as shape</v>
      </c>
      <c r="L51" s="107" t="str">
        <f t="shared" si="3"/>
        <v>Set mod4_8 = ActiveSheet.Shapes("mod4_8")</v>
      </c>
      <c r="M51">
        <v>1</v>
      </c>
    </row>
    <row r="52" spans="1:13" x14ac:dyDescent="0.2">
      <c r="A52">
        <v>10</v>
      </c>
      <c r="B52" t="s">
        <v>313</v>
      </c>
      <c r="C52" t="s">
        <v>312</v>
      </c>
      <c r="D52">
        <f t="shared" si="5"/>
        <v>450</v>
      </c>
      <c r="E52">
        <v>18</v>
      </c>
      <c r="F52">
        <v>468</v>
      </c>
      <c r="H52">
        <v>9</v>
      </c>
      <c r="I52">
        <v>4</v>
      </c>
      <c r="J52" s="107" t="str">
        <f t="shared" si="6"/>
        <v>mod4_9</v>
      </c>
      <c r="K52" s="107" t="str">
        <f t="shared" si="2"/>
        <v>dim shape_mod4_9 as shape</v>
      </c>
      <c r="L52" s="107" t="str">
        <f t="shared" si="3"/>
        <v>Set mod4_9 = ActiveSheet.Shapes("mod4_9")</v>
      </c>
      <c r="M52">
        <v>1</v>
      </c>
    </row>
    <row r="53" spans="1:13" x14ac:dyDescent="0.2">
      <c r="A53">
        <v>10</v>
      </c>
      <c r="B53" t="s">
        <v>314</v>
      </c>
      <c r="C53" t="s">
        <v>312</v>
      </c>
      <c r="D53">
        <f t="shared" si="5"/>
        <v>472</v>
      </c>
      <c r="E53">
        <v>18</v>
      </c>
      <c r="F53">
        <v>490</v>
      </c>
      <c r="H53">
        <v>10</v>
      </c>
      <c r="I53">
        <v>4</v>
      </c>
      <c r="J53" s="107" t="str">
        <f t="shared" si="6"/>
        <v>mod4_10</v>
      </c>
      <c r="K53" s="107" t="str">
        <f t="shared" si="2"/>
        <v>dim shape_mod4_10 as shape</v>
      </c>
      <c r="L53" s="107" t="str">
        <f t="shared" si="3"/>
        <v>Set mod4_10 = ActiveSheet.Shapes("mod4_10")</v>
      </c>
      <c r="M53">
        <v>1</v>
      </c>
    </row>
    <row r="54" spans="1:13" x14ac:dyDescent="0.2">
      <c r="A54">
        <v>10</v>
      </c>
      <c r="B54" t="s">
        <v>315</v>
      </c>
      <c r="C54" t="s">
        <v>307</v>
      </c>
      <c r="D54">
        <f t="shared" si="5"/>
        <v>534</v>
      </c>
      <c r="E54">
        <v>18</v>
      </c>
      <c r="F54">
        <v>552</v>
      </c>
      <c r="H54">
        <v>11</v>
      </c>
      <c r="I54">
        <v>4</v>
      </c>
      <c r="J54" s="107" t="str">
        <f t="shared" si="6"/>
        <v>mod4_11</v>
      </c>
      <c r="K54" s="107" t="str">
        <f t="shared" si="2"/>
        <v>dim shape_mod4_11 as shape</v>
      </c>
      <c r="L54" s="107" t="str">
        <f t="shared" si="3"/>
        <v>Set mod4_11 = ActiveSheet.Shapes("mod4_11")</v>
      </c>
      <c r="M54">
        <v>1</v>
      </c>
    </row>
    <row r="55" spans="1:13" x14ac:dyDescent="0.2">
      <c r="H55">
        <v>12</v>
      </c>
      <c r="I55">
        <v>4</v>
      </c>
      <c r="J55" s="107" t="str">
        <f t="shared" si="6"/>
        <v>mod4_12</v>
      </c>
      <c r="K55" s="107" t="str">
        <f t="shared" si="2"/>
        <v>dim shape_mod4_12 as shape</v>
      </c>
      <c r="L55" s="107" t="str">
        <f t="shared" si="3"/>
        <v>Set mod4_12 = ActiveSheet.Shapes("mod4_12")</v>
      </c>
      <c r="M55">
        <v>1</v>
      </c>
    </row>
    <row r="56" spans="1:13" x14ac:dyDescent="0.2">
      <c r="H56">
        <v>13</v>
      </c>
      <c r="I56">
        <v>4</v>
      </c>
      <c r="J56" s="107" t="str">
        <f t="shared" si="6"/>
        <v>mod4_13</v>
      </c>
      <c r="K56" s="107" t="str">
        <f t="shared" si="2"/>
        <v>dim shape_mod4_13 as shape</v>
      </c>
      <c r="L56" s="107" t="str">
        <f t="shared" si="3"/>
        <v>Set mod4_13 = ActiveSheet.Shapes("mod4_13")</v>
      </c>
      <c r="M56">
        <v>1</v>
      </c>
    </row>
    <row r="57" spans="1:13" x14ac:dyDescent="0.2">
      <c r="H57">
        <v>14</v>
      </c>
      <c r="I57">
        <v>4</v>
      </c>
      <c r="J57" s="107" t="str">
        <f t="shared" si="6"/>
        <v>mod4_14</v>
      </c>
      <c r="K57" s="107" t="str">
        <f t="shared" si="2"/>
        <v>dim shape_mod4_14 as shape</v>
      </c>
      <c r="L57" s="107" t="str">
        <f t="shared" si="3"/>
        <v>Set mod4_14 = ActiveSheet.Shapes("mod4_14")</v>
      </c>
      <c r="M57">
        <v>1</v>
      </c>
    </row>
    <row r="58" spans="1:13" x14ac:dyDescent="0.2">
      <c r="H58">
        <v>1</v>
      </c>
      <c r="I58">
        <f>I44+1</f>
        <v>5</v>
      </c>
      <c r="J58" t="str">
        <f t="shared" si="6"/>
        <v>mod5_1</v>
      </c>
      <c r="K58" t="str">
        <f t="shared" si="2"/>
        <v>dim shape_mod5_1 as shape</v>
      </c>
      <c r="L58" t="str">
        <f t="shared" si="3"/>
        <v>Set mod5_1 = ActiveSheet.Shapes("mod5_1")</v>
      </c>
      <c r="M58">
        <v>2</v>
      </c>
    </row>
    <row r="59" spans="1:13" x14ac:dyDescent="0.2">
      <c r="H59">
        <v>2</v>
      </c>
      <c r="I59">
        <f t="shared" ref="I59:I122" si="7">I45+1</f>
        <v>5</v>
      </c>
      <c r="J59" t="str">
        <f t="shared" si="6"/>
        <v>mod5_2</v>
      </c>
      <c r="K59" t="str">
        <f t="shared" si="2"/>
        <v>dim shape_mod5_2 as shape</v>
      </c>
      <c r="L59" t="str">
        <f t="shared" si="3"/>
        <v>Set mod5_2 = ActiveSheet.Shapes("mod5_2")</v>
      </c>
      <c r="M59">
        <v>2</v>
      </c>
    </row>
    <row r="60" spans="1:13" x14ac:dyDescent="0.2">
      <c r="H60">
        <v>3</v>
      </c>
      <c r="I60">
        <f t="shared" si="7"/>
        <v>5</v>
      </c>
      <c r="J60" t="str">
        <f t="shared" si="6"/>
        <v>mod5_3</v>
      </c>
      <c r="K60" t="str">
        <f t="shared" si="2"/>
        <v>dim shape_mod5_3 as shape</v>
      </c>
      <c r="L60" t="str">
        <f t="shared" si="3"/>
        <v>Set mod5_3 = ActiveSheet.Shapes("mod5_3")</v>
      </c>
      <c r="M60">
        <v>2</v>
      </c>
    </row>
    <row r="61" spans="1:13" x14ac:dyDescent="0.2">
      <c r="H61">
        <v>4</v>
      </c>
      <c r="I61">
        <f t="shared" si="7"/>
        <v>5</v>
      </c>
      <c r="J61" t="str">
        <f t="shared" si="6"/>
        <v>mod5_4</v>
      </c>
      <c r="K61" t="str">
        <f t="shared" si="2"/>
        <v>dim shape_mod5_4 as shape</v>
      </c>
      <c r="L61" t="str">
        <f t="shared" si="3"/>
        <v>Set mod5_4 = ActiveSheet.Shapes("mod5_4")</v>
      </c>
      <c r="M61">
        <v>2</v>
      </c>
    </row>
    <row r="62" spans="1:13" x14ac:dyDescent="0.2">
      <c r="H62">
        <v>5</v>
      </c>
      <c r="I62">
        <f t="shared" si="7"/>
        <v>5</v>
      </c>
      <c r="J62" t="str">
        <f t="shared" si="6"/>
        <v>mod5_5</v>
      </c>
      <c r="K62" t="str">
        <f t="shared" si="2"/>
        <v>dim shape_mod5_5 as shape</v>
      </c>
      <c r="L62" t="str">
        <f t="shared" si="3"/>
        <v>Set mod5_5 = ActiveSheet.Shapes("mod5_5")</v>
      </c>
      <c r="M62">
        <v>2</v>
      </c>
    </row>
    <row r="63" spans="1:13" x14ac:dyDescent="0.2">
      <c r="H63">
        <v>6</v>
      </c>
      <c r="I63">
        <f t="shared" si="7"/>
        <v>5</v>
      </c>
      <c r="J63" t="str">
        <f t="shared" si="6"/>
        <v>mod5_6</v>
      </c>
      <c r="K63" t="str">
        <f t="shared" si="2"/>
        <v>dim shape_mod5_6 as shape</v>
      </c>
      <c r="L63" t="str">
        <f t="shared" si="3"/>
        <v>Set mod5_6 = ActiveSheet.Shapes("mod5_6")</v>
      </c>
      <c r="M63">
        <v>2</v>
      </c>
    </row>
    <row r="64" spans="1:13" x14ac:dyDescent="0.2">
      <c r="H64">
        <v>7</v>
      </c>
      <c r="I64">
        <f t="shared" si="7"/>
        <v>5</v>
      </c>
      <c r="J64" t="str">
        <f t="shared" si="6"/>
        <v>mod5_7</v>
      </c>
      <c r="K64" t="str">
        <f t="shared" si="2"/>
        <v>dim shape_mod5_7 as shape</v>
      </c>
      <c r="L64" t="str">
        <f t="shared" si="3"/>
        <v>Set mod5_7 = ActiveSheet.Shapes("mod5_7")</v>
      </c>
      <c r="M64">
        <v>2</v>
      </c>
    </row>
    <row r="65" spans="8:13" x14ac:dyDescent="0.2">
      <c r="H65">
        <v>8</v>
      </c>
      <c r="I65">
        <f t="shared" si="7"/>
        <v>5</v>
      </c>
      <c r="J65" t="str">
        <f t="shared" si="6"/>
        <v>mod5_8</v>
      </c>
      <c r="K65" t="str">
        <f t="shared" si="2"/>
        <v>dim shape_mod5_8 as shape</v>
      </c>
      <c r="L65" t="str">
        <f t="shared" si="3"/>
        <v>Set mod5_8 = ActiveSheet.Shapes("mod5_8")</v>
      </c>
      <c r="M65">
        <v>2</v>
      </c>
    </row>
    <row r="66" spans="8:13" x14ac:dyDescent="0.2">
      <c r="H66">
        <v>9</v>
      </c>
      <c r="I66">
        <f t="shared" si="7"/>
        <v>5</v>
      </c>
      <c r="J66" t="str">
        <f t="shared" si="6"/>
        <v>mod5_9</v>
      </c>
      <c r="K66" t="str">
        <f t="shared" si="2"/>
        <v>dim shape_mod5_9 as shape</v>
      </c>
      <c r="L66" t="str">
        <f t="shared" si="3"/>
        <v>Set mod5_9 = ActiveSheet.Shapes("mod5_9")</v>
      </c>
      <c r="M66">
        <v>2</v>
      </c>
    </row>
    <row r="67" spans="8:13" x14ac:dyDescent="0.2">
      <c r="H67">
        <v>10</v>
      </c>
      <c r="I67">
        <f t="shared" si="7"/>
        <v>5</v>
      </c>
      <c r="J67" t="str">
        <f t="shared" si="6"/>
        <v>mod5_10</v>
      </c>
      <c r="K67" t="str">
        <f t="shared" ref="K67:K130" si="8">"dim shape_"&amp;J67&amp;" as shape"</f>
        <v>dim shape_mod5_10 as shape</v>
      </c>
      <c r="L67" t="str">
        <f t="shared" ref="L67:L130" si="9">"Set "&amp;J67&amp;" = ActiveSheet.Shapes("""&amp;J67&amp;""")"</f>
        <v>Set mod5_10 = ActiveSheet.Shapes("mod5_10")</v>
      </c>
      <c r="M67">
        <v>2</v>
      </c>
    </row>
    <row r="68" spans="8:13" x14ac:dyDescent="0.2">
      <c r="H68">
        <v>11</v>
      </c>
      <c r="I68">
        <f t="shared" si="7"/>
        <v>5</v>
      </c>
      <c r="J68" t="str">
        <f t="shared" si="6"/>
        <v>mod5_11</v>
      </c>
      <c r="K68" t="str">
        <f t="shared" si="8"/>
        <v>dim shape_mod5_11 as shape</v>
      </c>
      <c r="L68" t="str">
        <f t="shared" si="9"/>
        <v>Set mod5_11 = ActiveSheet.Shapes("mod5_11")</v>
      </c>
      <c r="M68">
        <v>2</v>
      </c>
    </row>
    <row r="69" spans="8:13" x14ac:dyDescent="0.2">
      <c r="H69">
        <v>12</v>
      </c>
      <c r="I69">
        <f t="shared" si="7"/>
        <v>5</v>
      </c>
      <c r="J69" t="str">
        <f t="shared" si="6"/>
        <v>mod5_12</v>
      </c>
      <c r="K69" t="str">
        <f t="shared" si="8"/>
        <v>dim shape_mod5_12 as shape</v>
      </c>
      <c r="L69" t="str">
        <f t="shared" si="9"/>
        <v>Set mod5_12 = ActiveSheet.Shapes("mod5_12")</v>
      </c>
      <c r="M69">
        <v>2</v>
      </c>
    </row>
    <row r="70" spans="8:13" x14ac:dyDescent="0.2">
      <c r="H70">
        <v>13</v>
      </c>
      <c r="I70">
        <f t="shared" si="7"/>
        <v>5</v>
      </c>
      <c r="J70" t="str">
        <f t="shared" si="6"/>
        <v>mod5_13</v>
      </c>
      <c r="K70" t="str">
        <f t="shared" si="8"/>
        <v>dim shape_mod5_13 as shape</v>
      </c>
      <c r="L70" t="str">
        <f t="shared" si="9"/>
        <v>Set mod5_13 = ActiveSheet.Shapes("mod5_13")</v>
      </c>
      <c r="M70">
        <v>2</v>
      </c>
    </row>
    <row r="71" spans="8:13" x14ac:dyDescent="0.2">
      <c r="H71">
        <v>14</v>
      </c>
      <c r="I71">
        <f t="shared" si="7"/>
        <v>5</v>
      </c>
      <c r="J71" t="str">
        <f t="shared" si="6"/>
        <v>mod5_14</v>
      </c>
      <c r="K71" t="str">
        <f t="shared" si="8"/>
        <v>dim shape_mod5_14 as shape</v>
      </c>
      <c r="L71" t="str">
        <f t="shared" si="9"/>
        <v>Set mod5_14 = ActiveSheet.Shapes("mod5_14")</v>
      </c>
      <c r="M71">
        <v>2</v>
      </c>
    </row>
    <row r="72" spans="8:13" x14ac:dyDescent="0.2">
      <c r="H72">
        <v>1</v>
      </c>
      <c r="I72">
        <f t="shared" si="7"/>
        <v>6</v>
      </c>
      <c r="J72" t="str">
        <f t="shared" si="6"/>
        <v>mod6_1</v>
      </c>
      <c r="K72" t="str">
        <f t="shared" si="8"/>
        <v>dim shape_mod6_1 as shape</v>
      </c>
      <c r="L72" t="str">
        <f t="shared" si="9"/>
        <v>Set mod6_1 = ActiveSheet.Shapes("mod6_1")</v>
      </c>
      <c r="M72">
        <v>2</v>
      </c>
    </row>
    <row r="73" spans="8:13" x14ac:dyDescent="0.2">
      <c r="H73">
        <v>2</v>
      </c>
      <c r="I73">
        <f t="shared" si="7"/>
        <v>6</v>
      </c>
      <c r="J73" t="str">
        <f t="shared" si="6"/>
        <v>mod6_2</v>
      </c>
      <c r="K73" t="str">
        <f t="shared" si="8"/>
        <v>dim shape_mod6_2 as shape</v>
      </c>
      <c r="L73" t="str">
        <f t="shared" si="9"/>
        <v>Set mod6_2 = ActiveSheet.Shapes("mod6_2")</v>
      </c>
      <c r="M73">
        <v>2</v>
      </c>
    </row>
    <row r="74" spans="8:13" x14ac:dyDescent="0.2">
      <c r="H74">
        <v>3</v>
      </c>
      <c r="I74">
        <f t="shared" si="7"/>
        <v>6</v>
      </c>
      <c r="J74" t="str">
        <f t="shared" si="6"/>
        <v>mod6_3</v>
      </c>
      <c r="K74" t="str">
        <f t="shared" si="8"/>
        <v>dim shape_mod6_3 as shape</v>
      </c>
      <c r="L74" t="str">
        <f t="shared" si="9"/>
        <v>Set mod6_3 = ActiveSheet.Shapes("mod6_3")</v>
      </c>
      <c r="M74">
        <v>2</v>
      </c>
    </row>
    <row r="75" spans="8:13" x14ac:dyDescent="0.2">
      <c r="H75">
        <v>4</v>
      </c>
      <c r="I75">
        <f t="shared" si="7"/>
        <v>6</v>
      </c>
      <c r="J75" t="str">
        <f t="shared" si="6"/>
        <v>mod6_4</v>
      </c>
      <c r="K75" t="str">
        <f t="shared" si="8"/>
        <v>dim shape_mod6_4 as shape</v>
      </c>
      <c r="L75" t="str">
        <f t="shared" si="9"/>
        <v>Set mod6_4 = ActiveSheet.Shapes("mod6_4")</v>
      </c>
      <c r="M75">
        <v>2</v>
      </c>
    </row>
    <row r="76" spans="8:13" x14ac:dyDescent="0.2">
      <c r="H76">
        <v>5</v>
      </c>
      <c r="I76">
        <f t="shared" si="7"/>
        <v>6</v>
      </c>
      <c r="J76" t="str">
        <f t="shared" si="6"/>
        <v>mod6_5</v>
      </c>
      <c r="K76" t="str">
        <f t="shared" si="8"/>
        <v>dim shape_mod6_5 as shape</v>
      </c>
      <c r="L76" t="str">
        <f t="shared" si="9"/>
        <v>Set mod6_5 = ActiveSheet.Shapes("mod6_5")</v>
      </c>
      <c r="M76">
        <v>2</v>
      </c>
    </row>
    <row r="77" spans="8:13" x14ac:dyDescent="0.2">
      <c r="H77">
        <v>6</v>
      </c>
      <c r="I77">
        <f t="shared" si="7"/>
        <v>6</v>
      </c>
      <c r="J77" t="str">
        <f t="shared" si="6"/>
        <v>mod6_6</v>
      </c>
      <c r="K77" t="str">
        <f t="shared" si="8"/>
        <v>dim shape_mod6_6 as shape</v>
      </c>
      <c r="L77" t="str">
        <f t="shared" si="9"/>
        <v>Set mod6_6 = ActiveSheet.Shapes("mod6_6")</v>
      </c>
      <c r="M77">
        <v>2</v>
      </c>
    </row>
    <row r="78" spans="8:13" x14ac:dyDescent="0.2">
      <c r="H78">
        <v>7</v>
      </c>
      <c r="I78">
        <f t="shared" si="7"/>
        <v>6</v>
      </c>
      <c r="J78" t="str">
        <f t="shared" si="6"/>
        <v>mod6_7</v>
      </c>
      <c r="K78" t="str">
        <f t="shared" si="8"/>
        <v>dim shape_mod6_7 as shape</v>
      </c>
      <c r="L78" t="str">
        <f t="shared" si="9"/>
        <v>Set mod6_7 = ActiveSheet.Shapes("mod6_7")</v>
      </c>
      <c r="M78">
        <v>2</v>
      </c>
    </row>
    <row r="79" spans="8:13" x14ac:dyDescent="0.2">
      <c r="H79">
        <v>8</v>
      </c>
      <c r="I79">
        <f t="shared" si="7"/>
        <v>6</v>
      </c>
      <c r="J79" t="str">
        <f t="shared" si="6"/>
        <v>mod6_8</v>
      </c>
      <c r="K79" t="str">
        <f t="shared" si="8"/>
        <v>dim shape_mod6_8 as shape</v>
      </c>
      <c r="L79" t="str">
        <f t="shared" si="9"/>
        <v>Set mod6_8 = ActiveSheet.Shapes("mod6_8")</v>
      </c>
      <c r="M79">
        <v>2</v>
      </c>
    </row>
    <row r="80" spans="8:13" x14ac:dyDescent="0.2">
      <c r="H80">
        <v>9</v>
      </c>
      <c r="I80">
        <f t="shared" si="7"/>
        <v>6</v>
      </c>
      <c r="J80" t="str">
        <f t="shared" si="6"/>
        <v>mod6_9</v>
      </c>
      <c r="K80" t="str">
        <f t="shared" si="8"/>
        <v>dim shape_mod6_9 as shape</v>
      </c>
      <c r="L80" t="str">
        <f t="shared" si="9"/>
        <v>Set mod6_9 = ActiveSheet.Shapes("mod6_9")</v>
      </c>
      <c r="M80">
        <v>2</v>
      </c>
    </row>
    <row r="81" spans="8:13" x14ac:dyDescent="0.2">
      <c r="H81">
        <v>10</v>
      </c>
      <c r="I81">
        <f t="shared" si="7"/>
        <v>6</v>
      </c>
      <c r="J81" t="str">
        <f t="shared" si="6"/>
        <v>mod6_10</v>
      </c>
      <c r="K81" t="str">
        <f t="shared" si="8"/>
        <v>dim shape_mod6_10 as shape</v>
      </c>
      <c r="L81" t="str">
        <f t="shared" si="9"/>
        <v>Set mod6_10 = ActiveSheet.Shapes("mod6_10")</v>
      </c>
      <c r="M81">
        <v>2</v>
      </c>
    </row>
    <row r="82" spans="8:13" x14ac:dyDescent="0.2">
      <c r="H82">
        <v>11</v>
      </c>
      <c r="I82">
        <f t="shared" si="7"/>
        <v>6</v>
      </c>
      <c r="J82" t="str">
        <f t="shared" si="6"/>
        <v>mod6_11</v>
      </c>
      <c r="K82" t="str">
        <f t="shared" si="8"/>
        <v>dim shape_mod6_11 as shape</v>
      </c>
      <c r="L82" t="str">
        <f t="shared" si="9"/>
        <v>Set mod6_11 = ActiveSheet.Shapes("mod6_11")</v>
      </c>
      <c r="M82">
        <v>2</v>
      </c>
    </row>
    <row r="83" spans="8:13" x14ac:dyDescent="0.2">
      <c r="H83">
        <v>12</v>
      </c>
      <c r="I83">
        <f t="shared" si="7"/>
        <v>6</v>
      </c>
      <c r="J83" t="str">
        <f t="shared" si="6"/>
        <v>mod6_12</v>
      </c>
      <c r="K83" t="str">
        <f t="shared" si="8"/>
        <v>dim shape_mod6_12 as shape</v>
      </c>
      <c r="L83" t="str">
        <f t="shared" si="9"/>
        <v>Set mod6_12 = ActiveSheet.Shapes("mod6_12")</v>
      </c>
      <c r="M83">
        <v>2</v>
      </c>
    </row>
    <row r="84" spans="8:13" x14ac:dyDescent="0.2">
      <c r="H84">
        <v>13</v>
      </c>
      <c r="I84">
        <f t="shared" si="7"/>
        <v>6</v>
      </c>
      <c r="J84" t="str">
        <f t="shared" si="6"/>
        <v>mod6_13</v>
      </c>
      <c r="K84" t="str">
        <f t="shared" si="8"/>
        <v>dim shape_mod6_13 as shape</v>
      </c>
      <c r="L84" t="str">
        <f t="shared" si="9"/>
        <v>Set mod6_13 = ActiveSheet.Shapes("mod6_13")</v>
      </c>
      <c r="M84">
        <v>2</v>
      </c>
    </row>
    <row r="85" spans="8:13" x14ac:dyDescent="0.2">
      <c r="H85">
        <v>14</v>
      </c>
      <c r="I85">
        <f t="shared" si="7"/>
        <v>6</v>
      </c>
      <c r="J85" t="str">
        <f t="shared" si="6"/>
        <v>mod6_14</v>
      </c>
      <c r="K85" t="str">
        <f t="shared" si="8"/>
        <v>dim shape_mod6_14 as shape</v>
      </c>
      <c r="L85" t="str">
        <f t="shared" si="9"/>
        <v>Set mod6_14 = ActiveSheet.Shapes("mod6_14")</v>
      </c>
      <c r="M85">
        <v>2</v>
      </c>
    </row>
    <row r="86" spans="8:13" x14ac:dyDescent="0.2">
      <c r="H86">
        <v>1</v>
      </c>
      <c r="I86">
        <f t="shared" si="7"/>
        <v>7</v>
      </c>
      <c r="J86" t="str">
        <f t="shared" si="6"/>
        <v>mod7_1</v>
      </c>
      <c r="K86" t="str">
        <f t="shared" si="8"/>
        <v>dim shape_mod7_1 as shape</v>
      </c>
      <c r="L86" t="str">
        <f t="shared" si="9"/>
        <v>Set mod7_1 = ActiveSheet.Shapes("mod7_1")</v>
      </c>
      <c r="M86">
        <v>2</v>
      </c>
    </row>
    <row r="87" spans="8:13" x14ac:dyDescent="0.2">
      <c r="H87">
        <v>2</v>
      </c>
      <c r="I87">
        <f t="shared" si="7"/>
        <v>7</v>
      </c>
      <c r="J87" t="str">
        <f t="shared" si="6"/>
        <v>mod7_2</v>
      </c>
      <c r="K87" t="str">
        <f t="shared" si="8"/>
        <v>dim shape_mod7_2 as shape</v>
      </c>
      <c r="L87" t="str">
        <f t="shared" si="9"/>
        <v>Set mod7_2 = ActiveSheet.Shapes("mod7_2")</v>
      </c>
      <c r="M87">
        <v>2</v>
      </c>
    </row>
    <row r="88" spans="8:13" x14ac:dyDescent="0.2">
      <c r="H88">
        <v>3</v>
      </c>
      <c r="I88">
        <f t="shared" si="7"/>
        <v>7</v>
      </c>
      <c r="J88" t="str">
        <f t="shared" si="6"/>
        <v>mod7_3</v>
      </c>
      <c r="K88" t="str">
        <f t="shared" si="8"/>
        <v>dim shape_mod7_3 as shape</v>
      </c>
      <c r="L88" t="str">
        <f t="shared" si="9"/>
        <v>Set mod7_3 = ActiveSheet.Shapes("mod7_3")</v>
      </c>
      <c r="M88">
        <v>2</v>
      </c>
    </row>
    <row r="89" spans="8:13" x14ac:dyDescent="0.2">
      <c r="H89">
        <v>4</v>
      </c>
      <c r="I89">
        <f t="shared" si="7"/>
        <v>7</v>
      </c>
      <c r="J89" t="str">
        <f t="shared" si="6"/>
        <v>mod7_4</v>
      </c>
      <c r="K89" t="str">
        <f t="shared" si="8"/>
        <v>dim shape_mod7_4 as shape</v>
      </c>
      <c r="L89" t="str">
        <f t="shared" si="9"/>
        <v>Set mod7_4 = ActiveSheet.Shapes("mod7_4")</v>
      </c>
      <c r="M89">
        <v>2</v>
      </c>
    </row>
    <row r="90" spans="8:13" x14ac:dyDescent="0.2">
      <c r="H90">
        <v>5</v>
      </c>
      <c r="I90">
        <f t="shared" si="7"/>
        <v>7</v>
      </c>
      <c r="J90" t="str">
        <f t="shared" si="6"/>
        <v>mod7_5</v>
      </c>
      <c r="K90" t="str">
        <f t="shared" si="8"/>
        <v>dim shape_mod7_5 as shape</v>
      </c>
      <c r="L90" t="str">
        <f t="shared" si="9"/>
        <v>Set mod7_5 = ActiveSheet.Shapes("mod7_5")</v>
      </c>
      <c r="M90">
        <v>2</v>
      </c>
    </row>
    <row r="91" spans="8:13" x14ac:dyDescent="0.2">
      <c r="H91">
        <v>6</v>
      </c>
      <c r="I91">
        <f t="shared" si="7"/>
        <v>7</v>
      </c>
      <c r="J91" t="str">
        <f t="shared" si="6"/>
        <v>mod7_6</v>
      </c>
      <c r="K91" t="str">
        <f t="shared" si="8"/>
        <v>dim shape_mod7_6 as shape</v>
      </c>
      <c r="L91" t="str">
        <f t="shared" si="9"/>
        <v>Set mod7_6 = ActiveSheet.Shapes("mod7_6")</v>
      </c>
      <c r="M91">
        <v>2</v>
      </c>
    </row>
    <row r="92" spans="8:13" x14ac:dyDescent="0.2">
      <c r="H92">
        <v>7</v>
      </c>
      <c r="I92">
        <f t="shared" si="7"/>
        <v>7</v>
      </c>
      <c r="J92" t="str">
        <f t="shared" si="6"/>
        <v>mod7_7</v>
      </c>
      <c r="K92" t="str">
        <f t="shared" si="8"/>
        <v>dim shape_mod7_7 as shape</v>
      </c>
      <c r="L92" t="str">
        <f t="shared" si="9"/>
        <v>Set mod7_7 = ActiveSheet.Shapes("mod7_7")</v>
      </c>
      <c r="M92">
        <v>2</v>
      </c>
    </row>
    <row r="93" spans="8:13" x14ac:dyDescent="0.2">
      <c r="H93">
        <v>8</v>
      </c>
      <c r="I93">
        <f t="shared" si="7"/>
        <v>7</v>
      </c>
      <c r="J93" t="str">
        <f t="shared" si="6"/>
        <v>mod7_8</v>
      </c>
      <c r="K93" t="str">
        <f t="shared" si="8"/>
        <v>dim shape_mod7_8 as shape</v>
      </c>
      <c r="L93" t="str">
        <f t="shared" si="9"/>
        <v>Set mod7_8 = ActiveSheet.Shapes("mod7_8")</v>
      </c>
      <c r="M93">
        <v>2</v>
      </c>
    </row>
    <row r="94" spans="8:13" x14ac:dyDescent="0.2">
      <c r="H94">
        <v>9</v>
      </c>
      <c r="I94">
        <f t="shared" si="7"/>
        <v>7</v>
      </c>
      <c r="J94" t="str">
        <f t="shared" si="6"/>
        <v>mod7_9</v>
      </c>
      <c r="K94" t="str">
        <f t="shared" si="8"/>
        <v>dim shape_mod7_9 as shape</v>
      </c>
      <c r="L94" t="str">
        <f t="shared" si="9"/>
        <v>Set mod7_9 = ActiveSheet.Shapes("mod7_9")</v>
      </c>
      <c r="M94">
        <v>2</v>
      </c>
    </row>
    <row r="95" spans="8:13" x14ac:dyDescent="0.2">
      <c r="H95">
        <v>10</v>
      </c>
      <c r="I95">
        <f t="shared" si="7"/>
        <v>7</v>
      </c>
      <c r="J95" t="str">
        <f t="shared" si="6"/>
        <v>mod7_10</v>
      </c>
      <c r="K95" t="str">
        <f t="shared" si="8"/>
        <v>dim shape_mod7_10 as shape</v>
      </c>
      <c r="L95" t="str">
        <f t="shared" si="9"/>
        <v>Set mod7_10 = ActiveSheet.Shapes("mod7_10")</v>
      </c>
      <c r="M95">
        <v>2</v>
      </c>
    </row>
    <row r="96" spans="8:13" x14ac:dyDescent="0.2">
      <c r="H96">
        <v>11</v>
      </c>
      <c r="I96">
        <f t="shared" si="7"/>
        <v>7</v>
      </c>
      <c r="J96" t="str">
        <f t="shared" si="6"/>
        <v>mod7_11</v>
      </c>
      <c r="K96" t="str">
        <f t="shared" si="8"/>
        <v>dim shape_mod7_11 as shape</v>
      </c>
      <c r="L96" t="str">
        <f t="shared" si="9"/>
        <v>Set mod7_11 = ActiveSheet.Shapes("mod7_11")</v>
      </c>
      <c r="M96">
        <v>2</v>
      </c>
    </row>
    <row r="97" spans="8:13" x14ac:dyDescent="0.2">
      <c r="H97">
        <v>12</v>
      </c>
      <c r="I97">
        <f t="shared" si="7"/>
        <v>7</v>
      </c>
      <c r="J97" t="str">
        <f t="shared" si="6"/>
        <v>mod7_12</v>
      </c>
      <c r="K97" t="str">
        <f t="shared" si="8"/>
        <v>dim shape_mod7_12 as shape</v>
      </c>
      <c r="L97" t="str">
        <f t="shared" si="9"/>
        <v>Set mod7_12 = ActiveSheet.Shapes("mod7_12")</v>
      </c>
      <c r="M97">
        <v>2</v>
      </c>
    </row>
    <row r="98" spans="8:13" x14ac:dyDescent="0.2">
      <c r="H98">
        <v>13</v>
      </c>
      <c r="I98">
        <f t="shared" si="7"/>
        <v>7</v>
      </c>
      <c r="J98" t="str">
        <f t="shared" si="6"/>
        <v>mod7_13</v>
      </c>
      <c r="K98" t="str">
        <f t="shared" si="8"/>
        <v>dim shape_mod7_13 as shape</v>
      </c>
      <c r="L98" t="str">
        <f t="shared" si="9"/>
        <v>Set mod7_13 = ActiveSheet.Shapes("mod7_13")</v>
      </c>
      <c r="M98">
        <v>2</v>
      </c>
    </row>
    <row r="99" spans="8:13" x14ac:dyDescent="0.2">
      <c r="H99">
        <v>14</v>
      </c>
      <c r="I99">
        <f t="shared" si="7"/>
        <v>7</v>
      </c>
      <c r="J99" t="str">
        <f t="shared" si="6"/>
        <v>mod7_14</v>
      </c>
      <c r="K99" t="str">
        <f t="shared" si="8"/>
        <v>dim shape_mod7_14 as shape</v>
      </c>
      <c r="L99" t="str">
        <f t="shared" si="9"/>
        <v>Set mod7_14 = ActiveSheet.Shapes("mod7_14")</v>
      </c>
      <c r="M99">
        <v>2</v>
      </c>
    </row>
    <row r="100" spans="8:13" x14ac:dyDescent="0.2">
      <c r="H100">
        <v>1</v>
      </c>
      <c r="I100">
        <f t="shared" si="7"/>
        <v>8</v>
      </c>
      <c r="J100" t="str">
        <f t="shared" si="6"/>
        <v>mod8_1</v>
      </c>
      <c r="K100" t="str">
        <f t="shared" si="8"/>
        <v>dim shape_mod8_1 as shape</v>
      </c>
      <c r="L100" t="str">
        <f t="shared" si="9"/>
        <v>Set mod8_1 = ActiveSheet.Shapes("mod8_1")</v>
      </c>
      <c r="M100">
        <v>2</v>
      </c>
    </row>
    <row r="101" spans="8:13" x14ac:dyDescent="0.2">
      <c r="H101">
        <v>2</v>
      </c>
      <c r="I101">
        <f t="shared" si="7"/>
        <v>8</v>
      </c>
      <c r="J101" t="str">
        <f t="shared" si="6"/>
        <v>mod8_2</v>
      </c>
      <c r="K101" t="str">
        <f t="shared" si="8"/>
        <v>dim shape_mod8_2 as shape</v>
      </c>
      <c r="L101" t="str">
        <f t="shared" si="9"/>
        <v>Set mod8_2 = ActiveSheet.Shapes("mod8_2")</v>
      </c>
      <c r="M101">
        <v>2</v>
      </c>
    </row>
    <row r="102" spans="8:13" x14ac:dyDescent="0.2">
      <c r="H102">
        <v>3</v>
      </c>
      <c r="I102">
        <f t="shared" si="7"/>
        <v>8</v>
      </c>
      <c r="J102" t="str">
        <f t="shared" si="6"/>
        <v>mod8_3</v>
      </c>
      <c r="K102" t="str">
        <f t="shared" si="8"/>
        <v>dim shape_mod8_3 as shape</v>
      </c>
      <c r="L102" t="str">
        <f t="shared" si="9"/>
        <v>Set mod8_3 = ActiveSheet.Shapes("mod8_3")</v>
      </c>
      <c r="M102">
        <v>2</v>
      </c>
    </row>
    <row r="103" spans="8:13" x14ac:dyDescent="0.2">
      <c r="H103">
        <v>4</v>
      </c>
      <c r="I103">
        <f t="shared" si="7"/>
        <v>8</v>
      </c>
      <c r="J103" t="str">
        <f t="shared" si="6"/>
        <v>mod8_4</v>
      </c>
      <c r="K103" t="str">
        <f t="shared" si="8"/>
        <v>dim shape_mod8_4 as shape</v>
      </c>
      <c r="L103" t="str">
        <f t="shared" si="9"/>
        <v>Set mod8_4 = ActiveSheet.Shapes("mod8_4")</v>
      </c>
      <c r="M103">
        <v>2</v>
      </c>
    </row>
    <row r="104" spans="8:13" x14ac:dyDescent="0.2">
      <c r="H104">
        <v>5</v>
      </c>
      <c r="I104">
        <f t="shared" si="7"/>
        <v>8</v>
      </c>
      <c r="J104" t="str">
        <f t="shared" si="6"/>
        <v>mod8_5</v>
      </c>
      <c r="K104" t="str">
        <f t="shared" si="8"/>
        <v>dim shape_mod8_5 as shape</v>
      </c>
      <c r="L104" t="str">
        <f t="shared" si="9"/>
        <v>Set mod8_5 = ActiveSheet.Shapes("mod8_5")</v>
      </c>
      <c r="M104">
        <v>2</v>
      </c>
    </row>
    <row r="105" spans="8:13" x14ac:dyDescent="0.2">
      <c r="H105">
        <v>6</v>
      </c>
      <c r="I105">
        <f t="shared" si="7"/>
        <v>8</v>
      </c>
      <c r="J105" t="str">
        <f t="shared" si="6"/>
        <v>mod8_6</v>
      </c>
      <c r="K105" t="str">
        <f t="shared" si="8"/>
        <v>dim shape_mod8_6 as shape</v>
      </c>
      <c r="L105" t="str">
        <f t="shared" si="9"/>
        <v>Set mod8_6 = ActiveSheet.Shapes("mod8_6")</v>
      </c>
      <c r="M105">
        <v>2</v>
      </c>
    </row>
    <row r="106" spans="8:13" x14ac:dyDescent="0.2">
      <c r="H106">
        <v>7</v>
      </c>
      <c r="I106">
        <f t="shared" si="7"/>
        <v>8</v>
      </c>
      <c r="J106" t="str">
        <f t="shared" si="6"/>
        <v>mod8_7</v>
      </c>
      <c r="K106" t="str">
        <f t="shared" si="8"/>
        <v>dim shape_mod8_7 as shape</v>
      </c>
      <c r="L106" t="str">
        <f t="shared" si="9"/>
        <v>Set mod8_7 = ActiveSheet.Shapes("mod8_7")</v>
      </c>
      <c r="M106">
        <v>2</v>
      </c>
    </row>
    <row r="107" spans="8:13" x14ac:dyDescent="0.2">
      <c r="H107">
        <v>8</v>
      </c>
      <c r="I107">
        <f t="shared" si="7"/>
        <v>8</v>
      </c>
      <c r="J107" t="str">
        <f t="shared" si="6"/>
        <v>mod8_8</v>
      </c>
      <c r="K107" t="str">
        <f t="shared" si="8"/>
        <v>dim shape_mod8_8 as shape</v>
      </c>
      <c r="L107" t="str">
        <f t="shared" si="9"/>
        <v>Set mod8_8 = ActiveSheet.Shapes("mod8_8")</v>
      </c>
      <c r="M107">
        <v>2</v>
      </c>
    </row>
    <row r="108" spans="8:13" x14ac:dyDescent="0.2">
      <c r="H108">
        <v>9</v>
      </c>
      <c r="I108">
        <f t="shared" si="7"/>
        <v>8</v>
      </c>
      <c r="J108" t="str">
        <f t="shared" si="6"/>
        <v>mod8_9</v>
      </c>
      <c r="K108" t="str">
        <f t="shared" si="8"/>
        <v>dim shape_mod8_9 as shape</v>
      </c>
      <c r="L108" t="str">
        <f t="shared" si="9"/>
        <v>Set mod8_9 = ActiveSheet.Shapes("mod8_9")</v>
      </c>
      <c r="M108">
        <v>2</v>
      </c>
    </row>
    <row r="109" spans="8:13" x14ac:dyDescent="0.2">
      <c r="H109">
        <v>10</v>
      </c>
      <c r="I109">
        <f t="shared" si="7"/>
        <v>8</v>
      </c>
      <c r="J109" t="str">
        <f t="shared" ref="J109:J169" si="10">"mod"&amp;I109&amp;"_"&amp;H109</f>
        <v>mod8_10</v>
      </c>
      <c r="K109" t="str">
        <f t="shared" si="8"/>
        <v>dim shape_mod8_10 as shape</v>
      </c>
      <c r="L109" t="str">
        <f t="shared" si="9"/>
        <v>Set mod8_10 = ActiveSheet.Shapes("mod8_10")</v>
      </c>
      <c r="M109">
        <v>2</v>
      </c>
    </row>
    <row r="110" spans="8:13" x14ac:dyDescent="0.2">
      <c r="H110">
        <v>11</v>
      </c>
      <c r="I110">
        <f t="shared" si="7"/>
        <v>8</v>
      </c>
      <c r="J110" t="str">
        <f t="shared" si="10"/>
        <v>mod8_11</v>
      </c>
      <c r="K110" t="str">
        <f t="shared" si="8"/>
        <v>dim shape_mod8_11 as shape</v>
      </c>
      <c r="L110" t="str">
        <f t="shared" si="9"/>
        <v>Set mod8_11 = ActiveSheet.Shapes("mod8_11")</v>
      </c>
      <c r="M110">
        <v>2</v>
      </c>
    </row>
    <row r="111" spans="8:13" x14ac:dyDescent="0.2">
      <c r="H111">
        <v>12</v>
      </c>
      <c r="I111">
        <f t="shared" si="7"/>
        <v>8</v>
      </c>
      <c r="J111" t="str">
        <f t="shared" si="10"/>
        <v>mod8_12</v>
      </c>
      <c r="K111" t="str">
        <f t="shared" si="8"/>
        <v>dim shape_mod8_12 as shape</v>
      </c>
      <c r="L111" t="str">
        <f t="shared" si="9"/>
        <v>Set mod8_12 = ActiveSheet.Shapes("mod8_12")</v>
      </c>
      <c r="M111">
        <v>2</v>
      </c>
    </row>
    <row r="112" spans="8:13" x14ac:dyDescent="0.2">
      <c r="H112">
        <v>13</v>
      </c>
      <c r="I112">
        <f t="shared" si="7"/>
        <v>8</v>
      </c>
      <c r="J112" t="str">
        <f t="shared" si="10"/>
        <v>mod8_13</v>
      </c>
      <c r="K112" t="str">
        <f t="shared" si="8"/>
        <v>dim shape_mod8_13 as shape</v>
      </c>
      <c r="L112" t="str">
        <f t="shared" si="9"/>
        <v>Set mod8_13 = ActiveSheet.Shapes("mod8_13")</v>
      </c>
      <c r="M112">
        <v>2</v>
      </c>
    </row>
    <row r="113" spans="8:13" x14ac:dyDescent="0.2">
      <c r="H113">
        <v>14</v>
      </c>
      <c r="I113">
        <f t="shared" si="7"/>
        <v>8</v>
      </c>
      <c r="J113" t="str">
        <f t="shared" si="10"/>
        <v>mod8_14</v>
      </c>
      <c r="K113" t="str">
        <f t="shared" si="8"/>
        <v>dim shape_mod8_14 as shape</v>
      </c>
      <c r="L113" t="str">
        <f t="shared" si="9"/>
        <v>Set mod8_14 = ActiveSheet.Shapes("mod8_14")</v>
      </c>
      <c r="M113">
        <v>2</v>
      </c>
    </row>
    <row r="114" spans="8:13" x14ac:dyDescent="0.2">
      <c r="H114">
        <v>1</v>
      </c>
      <c r="I114">
        <f t="shared" si="7"/>
        <v>9</v>
      </c>
      <c r="J114" t="str">
        <f t="shared" si="10"/>
        <v>mod9_1</v>
      </c>
      <c r="K114" t="str">
        <f t="shared" si="8"/>
        <v>dim shape_mod9_1 as shape</v>
      </c>
      <c r="L114" t="str">
        <f t="shared" si="9"/>
        <v>Set mod9_1 = ActiveSheet.Shapes("mod9_1")</v>
      </c>
      <c r="M114">
        <v>3</v>
      </c>
    </row>
    <row r="115" spans="8:13" x14ac:dyDescent="0.2">
      <c r="H115">
        <v>2</v>
      </c>
      <c r="I115">
        <f t="shared" si="7"/>
        <v>9</v>
      </c>
      <c r="J115" t="str">
        <f t="shared" si="10"/>
        <v>mod9_2</v>
      </c>
      <c r="K115" t="str">
        <f t="shared" si="8"/>
        <v>dim shape_mod9_2 as shape</v>
      </c>
      <c r="L115" t="str">
        <f t="shared" si="9"/>
        <v>Set mod9_2 = ActiveSheet.Shapes("mod9_2")</v>
      </c>
      <c r="M115">
        <v>3</v>
      </c>
    </row>
    <row r="116" spans="8:13" x14ac:dyDescent="0.2">
      <c r="H116">
        <v>3</v>
      </c>
      <c r="I116">
        <f t="shared" si="7"/>
        <v>9</v>
      </c>
      <c r="J116" t="str">
        <f t="shared" si="10"/>
        <v>mod9_3</v>
      </c>
      <c r="K116" t="str">
        <f t="shared" si="8"/>
        <v>dim shape_mod9_3 as shape</v>
      </c>
      <c r="L116" t="str">
        <f t="shared" si="9"/>
        <v>Set mod9_3 = ActiveSheet.Shapes("mod9_3")</v>
      </c>
      <c r="M116">
        <v>3</v>
      </c>
    </row>
    <row r="117" spans="8:13" x14ac:dyDescent="0.2">
      <c r="H117">
        <v>4</v>
      </c>
      <c r="I117">
        <f t="shared" si="7"/>
        <v>9</v>
      </c>
      <c r="J117" t="str">
        <f t="shared" si="10"/>
        <v>mod9_4</v>
      </c>
      <c r="K117" t="str">
        <f t="shared" si="8"/>
        <v>dim shape_mod9_4 as shape</v>
      </c>
      <c r="L117" t="str">
        <f t="shared" si="9"/>
        <v>Set mod9_4 = ActiveSheet.Shapes("mod9_4")</v>
      </c>
      <c r="M117">
        <v>3</v>
      </c>
    </row>
    <row r="118" spans="8:13" x14ac:dyDescent="0.2">
      <c r="H118">
        <v>5</v>
      </c>
      <c r="I118">
        <f t="shared" si="7"/>
        <v>9</v>
      </c>
      <c r="J118" t="str">
        <f t="shared" si="10"/>
        <v>mod9_5</v>
      </c>
      <c r="K118" t="str">
        <f t="shared" si="8"/>
        <v>dim shape_mod9_5 as shape</v>
      </c>
      <c r="L118" t="str">
        <f t="shared" si="9"/>
        <v>Set mod9_5 = ActiveSheet.Shapes("mod9_5")</v>
      </c>
      <c r="M118">
        <v>3</v>
      </c>
    </row>
    <row r="119" spans="8:13" x14ac:dyDescent="0.2">
      <c r="H119">
        <v>6</v>
      </c>
      <c r="I119">
        <f t="shared" si="7"/>
        <v>9</v>
      </c>
      <c r="J119" t="str">
        <f t="shared" si="10"/>
        <v>mod9_6</v>
      </c>
      <c r="K119" t="str">
        <f t="shared" si="8"/>
        <v>dim shape_mod9_6 as shape</v>
      </c>
      <c r="L119" t="str">
        <f t="shared" si="9"/>
        <v>Set mod9_6 = ActiveSheet.Shapes("mod9_6")</v>
      </c>
      <c r="M119">
        <v>3</v>
      </c>
    </row>
    <row r="120" spans="8:13" x14ac:dyDescent="0.2">
      <c r="H120">
        <v>7</v>
      </c>
      <c r="I120">
        <f t="shared" si="7"/>
        <v>9</v>
      </c>
      <c r="J120" t="str">
        <f t="shared" si="10"/>
        <v>mod9_7</v>
      </c>
      <c r="K120" t="str">
        <f t="shared" si="8"/>
        <v>dim shape_mod9_7 as shape</v>
      </c>
      <c r="L120" t="str">
        <f t="shared" si="9"/>
        <v>Set mod9_7 = ActiveSheet.Shapes("mod9_7")</v>
      </c>
      <c r="M120">
        <v>3</v>
      </c>
    </row>
    <row r="121" spans="8:13" x14ac:dyDescent="0.2">
      <c r="H121">
        <v>8</v>
      </c>
      <c r="I121">
        <f t="shared" si="7"/>
        <v>9</v>
      </c>
      <c r="J121" t="str">
        <f t="shared" si="10"/>
        <v>mod9_8</v>
      </c>
      <c r="K121" t="str">
        <f t="shared" si="8"/>
        <v>dim shape_mod9_8 as shape</v>
      </c>
      <c r="L121" t="str">
        <f t="shared" si="9"/>
        <v>Set mod9_8 = ActiveSheet.Shapes("mod9_8")</v>
      </c>
      <c r="M121">
        <v>3</v>
      </c>
    </row>
    <row r="122" spans="8:13" x14ac:dyDescent="0.2">
      <c r="H122">
        <v>9</v>
      </c>
      <c r="I122">
        <f t="shared" si="7"/>
        <v>9</v>
      </c>
      <c r="J122" t="str">
        <f t="shared" si="10"/>
        <v>mod9_9</v>
      </c>
      <c r="K122" t="str">
        <f t="shared" si="8"/>
        <v>dim shape_mod9_9 as shape</v>
      </c>
      <c r="L122" t="str">
        <f t="shared" si="9"/>
        <v>Set mod9_9 = ActiveSheet.Shapes("mod9_9")</v>
      </c>
      <c r="M122">
        <v>3</v>
      </c>
    </row>
    <row r="123" spans="8:13" x14ac:dyDescent="0.2">
      <c r="H123">
        <v>10</v>
      </c>
      <c r="I123">
        <f t="shared" ref="I123:I169" si="11">I109+1</f>
        <v>9</v>
      </c>
      <c r="J123" t="str">
        <f t="shared" si="10"/>
        <v>mod9_10</v>
      </c>
      <c r="K123" t="str">
        <f t="shared" si="8"/>
        <v>dim shape_mod9_10 as shape</v>
      </c>
      <c r="L123" t="str">
        <f t="shared" si="9"/>
        <v>Set mod9_10 = ActiveSheet.Shapes("mod9_10")</v>
      </c>
      <c r="M123">
        <v>3</v>
      </c>
    </row>
    <row r="124" spans="8:13" x14ac:dyDescent="0.2">
      <c r="H124">
        <v>11</v>
      </c>
      <c r="I124">
        <f t="shared" si="11"/>
        <v>9</v>
      </c>
      <c r="J124" t="str">
        <f t="shared" si="10"/>
        <v>mod9_11</v>
      </c>
      <c r="K124" t="str">
        <f t="shared" si="8"/>
        <v>dim shape_mod9_11 as shape</v>
      </c>
      <c r="L124" t="str">
        <f t="shared" si="9"/>
        <v>Set mod9_11 = ActiveSheet.Shapes("mod9_11")</v>
      </c>
      <c r="M124">
        <v>3</v>
      </c>
    </row>
    <row r="125" spans="8:13" x14ac:dyDescent="0.2">
      <c r="H125">
        <v>12</v>
      </c>
      <c r="I125">
        <f t="shared" si="11"/>
        <v>9</v>
      </c>
      <c r="J125" t="str">
        <f t="shared" si="10"/>
        <v>mod9_12</v>
      </c>
      <c r="K125" t="str">
        <f t="shared" si="8"/>
        <v>dim shape_mod9_12 as shape</v>
      </c>
      <c r="L125" t="str">
        <f t="shared" si="9"/>
        <v>Set mod9_12 = ActiveSheet.Shapes("mod9_12")</v>
      </c>
      <c r="M125">
        <v>3</v>
      </c>
    </row>
    <row r="126" spans="8:13" x14ac:dyDescent="0.2">
      <c r="H126">
        <v>13</v>
      </c>
      <c r="I126">
        <f t="shared" si="11"/>
        <v>9</v>
      </c>
      <c r="J126" t="str">
        <f t="shared" si="10"/>
        <v>mod9_13</v>
      </c>
      <c r="K126" t="str">
        <f t="shared" si="8"/>
        <v>dim shape_mod9_13 as shape</v>
      </c>
      <c r="L126" t="str">
        <f t="shared" si="9"/>
        <v>Set mod9_13 = ActiveSheet.Shapes("mod9_13")</v>
      </c>
      <c r="M126">
        <v>3</v>
      </c>
    </row>
    <row r="127" spans="8:13" x14ac:dyDescent="0.2">
      <c r="H127">
        <v>14</v>
      </c>
      <c r="I127">
        <f t="shared" si="11"/>
        <v>9</v>
      </c>
      <c r="J127" t="str">
        <f t="shared" si="10"/>
        <v>mod9_14</v>
      </c>
      <c r="K127" t="str">
        <f t="shared" si="8"/>
        <v>dim shape_mod9_14 as shape</v>
      </c>
      <c r="L127" t="str">
        <f t="shared" si="9"/>
        <v>Set mod9_14 = ActiveSheet.Shapes("mod9_14")</v>
      </c>
      <c r="M127">
        <v>3</v>
      </c>
    </row>
    <row r="128" spans="8:13" x14ac:dyDescent="0.2">
      <c r="H128">
        <v>1</v>
      </c>
      <c r="I128">
        <f t="shared" si="11"/>
        <v>10</v>
      </c>
      <c r="J128" t="str">
        <f t="shared" si="10"/>
        <v>mod10_1</v>
      </c>
      <c r="K128" t="str">
        <f t="shared" si="8"/>
        <v>dim shape_mod10_1 as shape</v>
      </c>
      <c r="L128" t="str">
        <f t="shared" si="9"/>
        <v>Set mod10_1 = ActiveSheet.Shapes("mod10_1")</v>
      </c>
      <c r="M128">
        <v>3</v>
      </c>
    </row>
    <row r="129" spans="8:13" x14ac:dyDescent="0.2">
      <c r="H129">
        <v>2</v>
      </c>
      <c r="I129">
        <f t="shared" si="11"/>
        <v>10</v>
      </c>
      <c r="J129" t="str">
        <f t="shared" si="10"/>
        <v>mod10_2</v>
      </c>
      <c r="K129" t="str">
        <f t="shared" si="8"/>
        <v>dim shape_mod10_2 as shape</v>
      </c>
      <c r="L129" t="str">
        <f t="shared" si="9"/>
        <v>Set mod10_2 = ActiveSheet.Shapes("mod10_2")</v>
      </c>
      <c r="M129">
        <v>3</v>
      </c>
    </row>
    <row r="130" spans="8:13" x14ac:dyDescent="0.2">
      <c r="H130">
        <v>3</v>
      </c>
      <c r="I130">
        <f t="shared" si="11"/>
        <v>10</v>
      </c>
      <c r="J130" t="str">
        <f t="shared" si="10"/>
        <v>mod10_3</v>
      </c>
      <c r="K130" t="str">
        <f t="shared" si="8"/>
        <v>dim shape_mod10_3 as shape</v>
      </c>
      <c r="L130" t="str">
        <f t="shared" si="9"/>
        <v>Set mod10_3 = ActiveSheet.Shapes("mod10_3")</v>
      </c>
      <c r="M130">
        <v>3</v>
      </c>
    </row>
    <row r="131" spans="8:13" x14ac:dyDescent="0.2">
      <c r="H131">
        <v>4</v>
      </c>
      <c r="I131">
        <f t="shared" si="11"/>
        <v>10</v>
      </c>
      <c r="J131" t="str">
        <f t="shared" si="10"/>
        <v>mod10_4</v>
      </c>
      <c r="K131" t="str">
        <f t="shared" ref="K131:K169" si="12">"dim shape_"&amp;J131&amp;" as shape"</f>
        <v>dim shape_mod10_4 as shape</v>
      </c>
      <c r="L131" t="str">
        <f t="shared" ref="L131:L169" si="13">"Set "&amp;J131&amp;" = ActiveSheet.Shapes("""&amp;J131&amp;""")"</f>
        <v>Set mod10_4 = ActiveSheet.Shapes("mod10_4")</v>
      </c>
      <c r="M131">
        <v>3</v>
      </c>
    </row>
    <row r="132" spans="8:13" x14ac:dyDescent="0.2">
      <c r="H132">
        <v>5</v>
      </c>
      <c r="I132">
        <f t="shared" si="11"/>
        <v>10</v>
      </c>
      <c r="J132" t="str">
        <f t="shared" si="10"/>
        <v>mod10_5</v>
      </c>
      <c r="K132" t="str">
        <f t="shared" si="12"/>
        <v>dim shape_mod10_5 as shape</v>
      </c>
      <c r="L132" t="str">
        <f t="shared" si="13"/>
        <v>Set mod10_5 = ActiveSheet.Shapes("mod10_5")</v>
      </c>
      <c r="M132">
        <v>3</v>
      </c>
    </row>
    <row r="133" spans="8:13" x14ac:dyDescent="0.2">
      <c r="H133">
        <v>6</v>
      </c>
      <c r="I133">
        <f t="shared" si="11"/>
        <v>10</v>
      </c>
      <c r="J133" t="str">
        <f t="shared" si="10"/>
        <v>mod10_6</v>
      </c>
      <c r="K133" t="str">
        <f t="shared" si="12"/>
        <v>dim shape_mod10_6 as shape</v>
      </c>
      <c r="L133" t="str">
        <f t="shared" si="13"/>
        <v>Set mod10_6 = ActiveSheet.Shapes("mod10_6")</v>
      </c>
      <c r="M133">
        <v>3</v>
      </c>
    </row>
    <row r="134" spans="8:13" x14ac:dyDescent="0.2">
      <c r="H134">
        <v>7</v>
      </c>
      <c r="I134">
        <f t="shared" si="11"/>
        <v>10</v>
      </c>
      <c r="J134" t="str">
        <f t="shared" si="10"/>
        <v>mod10_7</v>
      </c>
      <c r="K134" t="str">
        <f t="shared" si="12"/>
        <v>dim shape_mod10_7 as shape</v>
      </c>
      <c r="L134" t="str">
        <f t="shared" si="13"/>
        <v>Set mod10_7 = ActiveSheet.Shapes("mod10_7")</v>
      </c>
      <c r="M134">
        <v>3</v>
      </c>
    </row>
    <row r="135" spans="8:13" x14ac:dyDescent="0.2">
      <c r="H135">
        <v>8</v>
      </c>
      <c r="I135">
        <f t="shared" si="11"/>
        <v>10</v>
      </c>
      <c r="J135" t="str">
        <f t="shared" si="10"/>
        <v>mod10_8</v>
      </c>
      <c r="K135" t="str">
        <f t="shared" si="12"/>
        <v>dim shape_mod10_8 as shape</v>
      </c>
      <c r="L135" t="str">
        <f t="shared" si="13"/>
        <v>Set mod10_8 = ActiveSheet.Shapes("mod10_8")</v>
      </c>
      <c r="M135">
        <v>3</v>
      </c>
    </row>
    <row r="136" spans="8:13" x14ac:dyDescent="0.2">
      <c r="H136">
        <v>9</v>
      </c>
      <c r="I136">
        <f t="shared" si="11"/>
        <v>10</v>
      </c>
      <c r="J136" t="str">
        <f t="shared" si="10"/>
        <v>mod10_9</v>
      </c>
      <c r="K136" t="str">
        <f t="shared" si="12"/>
        <v>dim shape_mod10_9 as shape</v>
      </c>
      <c r="L136" t="str">
        <f t="shared" si="13"/>
        <v>Set mod10_9 = ActiveSheet.Shapes("mod10_9")</v>
      </c>
      <c r="M136">
        <v>3</v>
      </c>
    </row>
    <row r="137" spans="8:13" x14ac:dyDescent="0.2">
      <c r="H137">
        <v>10</v>
      </c>
      <c r="I137">
        <f t="shared" si="11"/>
        <v>10</v>
      </c>
      <c r="J137" t="str">
        <f t="shared" si="10"/>
        <v>mod10_10</v>
      </c>
      <c r="K137" t="str">
        <f t="shared" si="12"/>
        <v>dim shape_mod10_10 as shape</v>
      </c>
      <c r="L137" t="str">
        <f t="shared" si="13"/>
        <v>Set mod10_10 = ActiveSheet.Shapes("mod10_10")</v>
      </c>
      <c r="M137">
        <v>3</v>
      </c>
    </row>
    <row r="138" spans="8:13" x14ac:dyDescent="0.2">
      <c r="H138">
        <v>11</v>
      </c>
      <c r="I138">
        <f t="shared" si="11"/>
        <v>10</v>
      </c>
      <c r="J138" t="str">
        <f t="shared" si="10"/>
        <v>mod10_11</v>
      </c>
      <c r="K138" t="str">
        <f t="shared" si="12"/>
        <v>dim shape_mod10_11 as shape</v>
      </c>
      <c r="L138" t="str">
        <f t="shared" si="13"/>
        <v>Set mod10_11 = ActiveSheet.Shapes("mod10_11")</v>
      </c>
      <c r="M138">
        <v>3</v>
      </c>
    </row>
    <row r="139" spans="8:13" x14ac:dyDescent="0.2">
      <c r="H139">
        <v>12</v>
      </c>
      <c r="I139">
        <f t="shared" si="11"/>
        <v>10</v>
      </c>
      <c r="J139" t="str">
        <f t="shared" si="10"/>
        <v>mod10_12</v>
      </c>
      <c r="K139" t="str">
        <f t="shared" si="12"/>
        <v>dim shape_mod10_12 as shape</v>
      </c>
      <c r="L139" t="str">
        <f t="shared" si="13"/>
        <v>Set mod10_12 = ActiveSheet.Shapes("mod10_12")</v>
      </c>
      <c r="M139">
        <v>3</v>
      </c>
    </row>
    <row r="140" spans="8:13" x14ac:dyDescent="0.2">
      <c r="H140">
        <v>13</v>
      </c>
      <c r="I140">
        <f t="shared" si="11"/>
        <v>10</v>
      </c>
      <c r="J140" t="str">
        <f t="shared" si="10"/>
        <v>mod10_13</v>
      </c>
      <c r="K140" t="str">
        <f t="shared" si="12"/>
        <v>dim shape_mod10_13 as shape</v>
      </c>
      <c r="L140" t="str">
        <f t="shared" si="13"/>
        <v>Set mod10_13 = ActiveSheet.Shapes("mod10_13")</v>
      </c>
      <c r="M140">
        <v>3</v>
      </c>
    </row>
    <row r="141" spans="8:13" x14ac:dyDescent="0.2">
      <c r="H141">
        <v>14</v>
      </c>
      <c r="I141">
        <f t="shared" si="11"/>
        <v>10</v>
      </c>
      <c r="J141" t="str">
        <f t="shared" si="10"/>
        <v>mod10_14</v>
      </c>
      <c r="K141" t="str">
        <f t="shared" si="12"/>
        <v>dim shape_mod10_14 as shape</v>
      </c>
      <c r="L141" t="str">
        <f t="shared" si="13"/>
        <v>Set mod10_14 = ActiveSheet.Shapes("mod10_14")</v>
      </c>
      <c r="M141">
        <v>3</v>
      </c>
    </row>
    <row r="142" spans="8:13" x14ac:dyDescent="0.2">
      <c r="H142">
        <v>1</v>
      </c>
      <c r="I142">
        <f t="shared" si="11"/>
        <v>11</v>
      </c>
      <c r="J142" t="str">
        <f t="shared" si="10"/>
        <v>mod11_1</v>
      </c>
      <c r="K142" t="str">
        <f t="shared" si="12"/>
        <v>dim shape_mod11_1 as shape</v>
      </c>
      <c r="L142" t="str">
        <f t="shared" si="13"/>
        <v>Set mod11_1 = ActiveSheet.Shapes("mod11_1")</v>
      </c>
      <c r="M142">
        <v>3</v>
      </c>
    </row>
    <row r="143" spans="8:13" x14ac:dyDescent="0.2">
      <c r="H143">
        <v>2</v>
      </c>
      <c r="I143">
        <f t="shared" si="11"/>
        <v>11</v>
      </c>
      <c r="J143" t="str">
        <f t="shared" si="10"/>
        <v>mod11_2</v>
      </c>
      <c r="K143" t="str">
        <f t="shared" si="12"/>
        <v>dim shape_mod11_2 as shape</v>
      </c>
      <c r="L143" t="str">
        <f t="shared" si="13"/>
        <v>Set mod11_2 = ActiveSheet.Shapes("mod11_2")</v>
      </c>
      <c r="M143">
        <v>3</v>
      </c>
    </row>
    <row r="144" spans="8:13" x14ac:dyDescent="0.2">
      <c r="H144">
        <v>3</v>
      </c>
      <c r="I144">
        <f t="shared" si="11"/>
        <v>11</v>
      </c>
      <c r="J144" t="str">
        <f t="shared" si="10"/>
        <v>mod11_3</v>
      </c>
      <c r="K144" t="str">
        <f t="shared" si="12"/>
        <v>dim shape_mod11_3 as shape</v>
      </c>
      <c r="L144" t="str">
        <f t="shared" si="13"/>
        <v>Set mod11_3 = ActiveSheet.Shapes("mod11_3")</v>
      </c>
      <c r="M144">
        <v>3</v>
      </c>
    </row>
    <row r="145" spans="8:13" x14ac:dyDescent="0.2">
      <c r="H145">
        <v>4</v>
      </c>
      <c r="I145">
        <f t="shared" si="11"/>
        <v>11</v>
      </c>
      <c r="J145" t="str">
        <f t="shared" si="10"/>
        <v>mod11_4</v>
      </c>
      <c r="K145" t="str">
        <f t="shared" si="12"/>
        <v>dim shape_mod11_4 as shape</v>
      </c>
      <c r="L145" t="str">
        <f t="shared" si="13"/>
        <v>Set mod11_4 = ActiveSheet.Shapes("mod11_4")</v>
      </c>
      <c r="M145">
        <v>3</v>
      </c>
    </row>
    <row r="146" spans="8:13" x14ac:dyDescent="0.2">
      <c r="H146">
        <v>5</v>
      </c>
      <c r="I146">
        <f t="shared" si="11"/>
        <v>11</v>
      </c>
      <c r="J146" t="str">
        <f t="shared" si="10"/>
        <v>mod11_5</v>
      </c>
      <c r="K146" t="str">
        <f t="shared" si="12"/>
        <v>dim shape_mod11_5 as shape</v>
      </c>
      <c r="L146" t="str">
        <f t="shared" si="13"/>
        <v>Set mod11_5 = ActiveSheet.Shapes("mod11_5")</v>
      </c>
      <c r="M146">
        <v>3</v>
      </c>
    </row>
    <row r="147" spans="8:13" x14ac:dyDescent="0.2">
      <c r="H147">
        <v>6</v>
      </c>
      <c r="I147">
        <f t="shared" si="11"/>
        <v>11</v>
      </c>
      <c r="J147" t="str">
        <f t="shared" si="10"/>
        <v>mod11_6</v>
      </c>
      <c r="K147" t="str">
        <f t="shared" si="12"/>
        <v>dim shape_mod11_6 as shape</v>
      </c>
      <c r="L147" t="str">
        <f t="shared" si="13"/>
        <v>Set mod11_6 = ActiveSheet.Shapes("mod11_6")</v>
      </c>
      <c r="M147">
        <v>3</v>
      </c>
    </row>
    <row r="148" spans="8:13" x14ac:dyDescent="0.2">
      <c r="H148">
        <v>7</v>
      </c>
      <c r="I148">
        <f t="shared" si="11"/>
        <v>11</v>
      </c>
      <c r="J148" t="str">
        <f t="shared" si="10"/>
        <v>mod11_7</v>
      </c>
      <c r="K148" t="str">
        <f t="shared" si="12"/>
        <v>dim shape_mod11_7 as shape</v>
      </c>
      <c r="L148" t="str">
        <f t="shared" si="13"/>
        <v>Set mod11_7 = ActiveSheet.Shapes("mod11_7")</v>
      </c>
      <c r="M148">
        <v>3</v>
      </c>
    </row>
    <row r="149" spans="8:13" x14ac:dyDescent="0.2">
      <c r="H149">
        <v>8</v>
      </c>
      <c r="I149">
        <f t="shared" si="11"/>
        <v>11</v>
      </c>
      <c r="J149" t="str">
        <f t="shared" si="10"/>
        <v>mod11_8</v>
      </c>
      <c r="K149" t="str">
        <f t="shared" si="12"/>
        <v>dim shape_mod11_8 as shape</v>
      </c>
      <c r="L149" t="str">
        <f t="shared" si="13"/>
        <v>Set mod11_8 = ActiveSheet.Shapes("mod11_8")</v>
      </c>
      <c r="M149">
        <v>3</v>
      </c>
    </row>
    <row r="150" spans="8:13" x14ac:dyDescent="0.2">
      <c r="H150">
        <v>9</v>
      </c>
      <c r="I150">
        <f t="shared" si="11"/>
        <v>11</v>
      </c>
      <c r="J150" t="str">
        <f t="shared" si="10"/>
        <v>mod11_9</v>
      </c>
      <c r="K150" t="str">
        <f t="shared" si="12"/>
        <v>dim shape_mod11_9 as shape</v>
      </c>
      <c r="L150" t="str">
        <f t="shared" si="13"/>
        <v>Set mod11_9 = ActiveSheet.Shapes("mod11_9")</v>
      </c>
      <c r="M150">
        <v>3</v>
      </c>
    </row>
    <row r="151" spans="8:13" x14ac:dyDescent="0.2">
      <c r="H151">
        <v>10</v>
      </c>
      <c r="I151">
        <f t="shared" si="11"/>
        <v>11</v>
      </c>
      <c r="J151" t="str">
        <f t="shared" si="10"/>
        <v>mod11_10</v>
      </c>
      <c r="K151" t="str">
        <f t="shared" si="12"/>
        <v>dim shape_mod11_10 as shape</v>
      </c>
      <c r="L151" t="str">
        <f t="shared" si="13"/>
        <v>Set mod11_10 = ActiveSheet.Shapes("mod11_10")</v>
      </c>
      <c r="M151">
        <v>3</v>
      </c>
    </row>
    <row r="152" spans="8:13" x14ac:dyDescent="0.2">
      <c r="H152">
        <v>11</v>
      </c>
      <c r="I152">
        <f t="shared" si="11"/>
        <v>11</v>
      </c>
      <c r="J152" t="str">
        <f t="shared" si="10"/>
        <v>mod11_11</v>
      </c>
      <c r="K152" t="str">
        <f t="shared" si="12"/>
        <v>dim shape_mod11_11 as shape</v>
      </c>
      <c r="L152" t="str">
        <f t="shared" si="13"/>
        <v>Set mod11_11 = ActiveSheet.Shapes("mod11_11")</v>
      </c>
      <c r="M152">
        <v>3</v>
      </c>
    </row>
    <row r="153" spans="8:13" x14ac:dyDescent="0.2">
      <c r="H153">
        <v>12</v>
      </c>
      <c r="I153">
        <f t="shared" si="11"/>
        <v>11</v>
      </c>
      <c r="J153" t="str">
        <f t="shared" si="10"/>
        <v>mod11_12</v>
      </c>
      <c r="K153" t="str">
        <f t="shared" si="12"/>
        <v>dim shape_mod11_12 as shape</v>
      </c>
      <c r="L153" t="str">
        <f t="shared" si="13"/>
        <v>Set mod11_12 = ActiveSheet.Shapes("mod11_12")</v>
      </c>
      <c r="M153">
        <v>3</v>
      </c>
    </row>
    <row r="154" spans="8:13" x14ac:dyDescent="0.2">
      <c r="H154">
        <v>13</v>
      </c>
      <c r="I154">
        <f t="shared" si="11"/>
        <v>11</v>
      </c>
      <c r="J154" t="str">
        <f t="shared" si="10"/>
        <v>mod11_13</v>
      </c>
      <c r="K154" t="str">
        <f t="shared" si="12"/>
        <v>dim shape_mod11_13 as shape</v>
      </c>
      <c r="L154" t="str">
        <f t="shared" si="13"/>
        <v>Set mod11_13 = ActiveSheet.Shapes("mod11_13")</v>
      </c>
      <c r="M154">
        <v>3</v>
      </c>
    </row>
    <row r="155" spans="8:13" x14ac:dyDescent="0.2">
      <c r="H155">
        <v>14</v>
      </c>
      <c r="I155">
        <f t="shared" si="11"/>
        <v>11</v>
      </c>
      <c r="J155" t="str">
        <f t="shared" si="10"/>
        <v>mod11_14</v>
      </c>
      <c r="K155" t="str">
        <f t="shared" si="12"/>
        <v>dim shape_mod11_14 as shape</v>
      </c>
      <c r="L155" t="str">
        <f t="shared" si="13"/>
        <v>Set mod11_14 = ActiveSheet.Shapes("mod11_14")</v>
      </c>
      <c r="M155">
        <v>3</v>
      </c>
    </row>
    <row r="156" spans="8:13" x14ac:dyDescent="0.2">
      <c r="H156">
        <v>1</v>
      </c>
      <c r="I156">
        <f t="shared" si="11"/>
        <v>12</v>
      </c>
      <c r="J156" t="str">
        <f t="shared" si="10"/>
        <v>mod12_1</v>
      </c>
      <c r="K156" t="str">
        <f t="shared" si="12"/>
        <v>dim shape_mod12_1 as shape</v>
      </c>
      <c r="L156" t="str">
        <f t="shared" si="13"/>
        <v>Set mod12_1 = ActiveSheet.Shapes("mod12_1")</v>
      </c>
      <c r="M156">
        <v>3</v>
      </c>
    </row>
    <row r="157" spans="8:13" x14ac:dyDescent="0.2">
      <c r="H157">
        <v>2</v>
      </c>
      <c r="I157">
        <f t="shared" si="11"/>
        <v>12</v>
      </c>
      <c r="J157" t="str">
        <f t="shared" si="10"/>
        <v>mod12_2</v>
      </c>
      <c r="K157" t="str">
        <f t="shared" si="12"/>
        <v>dim shape_mod12_2 as shape</v>
      </c>
      <c r="L157" t="str">
        <f t="shared" si="13"/>
        <v>Set mod12_2 = ActiveSheet.Shapes("mod12_2")</v>
      </c>
      <c r="M157">
        <v>3</v>
      </c>
    </row>
    <row r="158" spans="8:13" x14ac:dyDescent="0.2">
      <c r="H158">
        <v>3</v>
      </c>
      <c r="I158">
        <f t="shared" si="11"/>
        <v>12</v>
      </c>
      <c r="J158" t="str">
        <f t="shared" si="10"/>
        <v>mod12_3</v>
      </c>
      <c r="K158" t="str">
        <f t="shared" si="12"/>
        <v>dim shape_mod12_3 as shape</v>
      </c>
      <c r="L158" t="str">
        <f t="shared" si="13"/>
        <v>Set mod12_3 = ActiveSheet.Shapes("mod12_3")</v>
      </c>
      <c r="M158">
        <v>3</v>
      </c>
    </row>
    <row r="159" spans="8:13" x14ac:dyDescent="0.2">
      <c r="H159">
        <v>4</v>
      </c>
      <c r="I159">
        <f t="shared" si="11"/>
        <v>12</v>
      </c>
      <c r="J159" t="str">
        <f t="shared" si="10"/>
        <v>mod12_4</v>
      </c>
      <c r="K159" t="str">
        <f t="shared" si="12"/>
        <v>dim shape_mod12_4 as shape</v>
      </c>
      <c r="L159" t="str">
        <f t="shared" si="13"/>
        <v>Set mod12_4 = ActiveSheet.Shapes("mod12_4")</v>
      </c>
      <c r="M159">
        <v>3</v>
      </c>
    </row>
    <row r="160" spans="8:13" x14ac:dyDescent="0.2">
      <c r="H160">
        <v>5</v>
      </c>
      <c r="I160">
        <f t="shared" si="11"/>
        <v>12</v>
      </c>
      <c r="J160" t="str">
        <f t="shared" si="10"/>
        <v>mod12_5</v>
      </c>
      <c r="K160" t="str">
        <f t="shared" si="12"/>
        <v>dim shape_mod12_5 as shape</v>
      </c>
      <c r="L160" t="str">
        <f t="shared" si="13"/>
        <v>Set mod12_5 = ActiveSheet.Shapes("mod12_5")</v>
      </c>
      <c r="M160">
        <v>3</v>
      </c>
    </row>
    <row r="161" spans="8:13" x14ac:dyDescent="0.2">
      <c r="H161">
        <v>6</v>
      </c>
      <c r="I161">
        <f t="shared" si="11"/>
        <v>12</v>
      </c>
      <c r="J161" t="str">
        <f t="shared" si="10"/>
        <v>mod12_6</v>
      </c>
      <c r="K161" t="str">
        <f t="shared" si="12"/>
        <v>dim shape_mod12_6 as shape</v>
      </c>
      <c r="L161" t="str">
        <f t="shared" si="13"/>
        <v>Set mod12_6 = ActiveSheet.Shapes("mod12_6")</v>
      </c>
      <c r="M161">
        <v>3</v>
      </c>
    </row>
    <row r="162" spans="8:13" x14ac:dyDescent="0.2">
      <c r="H162">
        <v>7</v>
      </c>
      <c r="I162">
        <f t="shared" si="11"/>
        <v>12</v>
      </c>
      <c r="J162" t="str">
        <f t="shared" si="10"/>
        <v>mod12_7</v>
      </c>
      <c r="K162" t="str">
        <f t="shared" si="12"/>
        <v>dim shape_mod12_7 as shape</v>
      </c>
      <c r="L162" t="str">
        <f t="shared" si="13"/>
        <v>Set mod12_7 = ActiveSheet.Shapes("mod12_7")</v>
      </c>
      <c r="M162">
        <v>3</v>
      </c>
    </row>
    <row r="163" spans="8:13" x14ac:dyDescent="0.2">
      <c r="H163">
        <v>8</v>
      </c>
      <c r="I163">
        <f t="shared" si="11"/>
        <v>12</v>
      </c>
      <c r="J163" t="str">
        <f t="shared" si="10"/>
        <v>mod12_8</v>
      </c>
      <c r="K163" t="str">
        <f t="shared" si="12"/>
        <v>dim shape_mod12_8 as shape</v>
      </c>
      <c r="L163" t="str">
        <f t="shared" si="13"/>
        <v>Set mod12_8 = ActiveSheet.Shapes("mod12_8")</v>
      </c>
      <c r="M163">
        <v>3</v>
      </c>
    </row>
    <row r="164" spans="8:13" x14ac:dyDescent="0.2">
      <c r="H164">
        <v>9</v>
      </c>
      <c r="I164">
        <f t="shared" si="11"/>
        <v>12</v>
      </c>
      <c r="J164" t="str">
        <f t="shared" si="10"/>
        <v>mod12_9</v>
      </c>
      <c r="K164" t="str">
        <f t="shared" si="12"/>
        <v>dim shape_mod12_9 as shape</v>
      </c>
      <c r="L164" t="str">
        <f t="shared" si="13"/>
        <v>Set mod12_9 = ActiveSheet.Shapes("mod12_9")</v>
      </c>
      <c r="M164">
        <v>3</v>
      </c>
    </row>
    <row r="165" spans="8:13" x14ac:dyDescent="0.2">
      <c r="H165">
        <v>10</v>
      </c>
      <c r="I165">
        <f t="shared" si="11"/>
        <v>12</v>
      </c>
      <c r="J165" t="str">
        <f t="shared" si="10"/>
        <v>mod12_10</v>
      </c>
      <c r="K165" t="str">
        <f t="shared" si="12"/>
        <v>dim shape_mod12_10 as shape</v>
      </c>
      <c r="L165" t="str">
        <f t="shared" si="13"/>
        <v>Set mod12_10 = ActiveSheet.Shapes("mod12_10")</v>
      </c>
      <c r="M165">
        <v>3</v>
      </c>
    </row>
    <row r="166" spans="8:13" x14ac:dyDescent="0.2">
      <c r="H166">
        <v>11</v>
      </c>
      <c r="I166">
        <f t="shared" si="11"/>
        <v>12</v>
      </c>
      <c r="J166" t="str">
        <f t="shared" si="10"/>
        <v>mod12_11</v>
      </c>
      <c r="K166" t="str">
        <f t="shared" si="12"/>
        <v>dim shape_mod12_11 as shape</v>
      </c>
      <c r="L166" t="str">
        <f t="shared" si="13"/>
        <v>Set mod12_11 = ActiveSheet.Shapes("mod12_11")</v>
      </c>
      <c r="M166">
        <v>3</v>
      </c>
    </row>
    <row r="167" spans="8:13" x14ac:dyDescent="0.2">
      <c r="H167">
        <v>12</v>
      </c>
      <c r="I167">
        <f t="shared" si="11"/>
        <v>12</v>
      </c>
      <c r="J167" t="str">
        <f t="shared" si="10"/>
        <v>mod12_12</v>
      </c>
      <c r="K167" t="str">
        <f t="shared" si="12"/>
        <v>dim shape_mod12_12 as shape</v>
      </c>
      <c r="L167" t="str">
        <f t="shared" si="13"/>
        <v>Set mod12_12 = ActiveSheet.Shapes("mod12_12")</v>
      </c>
      <c r="M167">
        <v>3</v>
      </c>
    </row>
    <row r="168" spans="8:13" x14ac:dyDescent="0.2">
      <c r="H168">
        <v>13</v>
      </c>
      <c r="I168">
        <f t="shared" si="11"/>
        <v>12</v>
      </c>
      <c r="J168" t="str">
        <f t="shared" si="10"/>
        <v>mod12_13</v>
      </c>
      <c r="K168" t="str">
        <f t="shared" si="12"/>
        <v>dim shape_mod12_13 as shape</v>
      </c>
      <c r="L168" t="str">
        <f t="shared" si="13"/>
        <v>Set mod12_13 = ActiveSheet.Shapes("mod12_13")</v>
      </c>
      <c r="M168">
        <v>3</v>
      </c>
    </row>
    <row r="169" spans="8:13" x14ac:dyDescent="0.2">
      <c r="H169">
        <v>14</v>
      </c>
      <c r="I169">
        <f t="shared" si="11"/>
        <v>12</v>
      </c>
      <c r="J169" t="str">
        <f t="shared" si="10"/>
        <v>mod12_14</v>
      </c>
      <c r="K169" t="str">
        <f t="shared" si="12"/>
        <v>dim shape_mod12_14 as shape</v>
      </c>
      <c r="L169" t="str">
        <f t="shared" si="13"/>
        <v>Set mod12_14 = ActiveSheet.Shapes("mod12_14")</v>
      </c>
      <c r="M169">
        <v>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02194-40CF-474F-8811-9E53358E25CB}">
  <sheetPr codeName="Planilha8"/>
  <dimension ref="A1:F491"/>
  <sheetViews>
    <sheetView topLeftCell="A451" workbookViewId="0">
      <selection activeCell="E455" sqref="E455"/>
    </sheetView>
  </sheetViews>
  <sheetFormatPr defaultRowHeight="15" x14ac:dyDescent="0.2"/>
  <cols>
    <col min="1" max="4" width="8.88671875" style="70"/>
    <col min="5" max="6" width="37" style="70" bestFit="1" customWidth="1"/>
  </cols>
  <sheetData>
    <row r="1" spans="3:6" x14ac:dyDescent="0.2">
      <c r="C1" s="70" t="s">
        <v>364</v>
      </c>
      <c r="E1" s="70" t="s">
        <v>365</v>
      </c>
      <c r="F1" t="str">
        <f>"Private Sub "&amp;C1&amp;"_Click()"</f>
        <v>Private Sub mic1_1_Click()</v>
      </c>
    </row>
    <row r="2" spans="3:6" x14ac:dyDescent="0.2">
      <c r="F2"/>
    </row>
    <row r="3" spans="3:6" x14ac:dyDescent="0.2">
      <c r="E3" s="70" t="s">
        <v>366</v>
      </c>
      <c r="F3" t="str">
        <f>"    If Me."&amp;C1&amp;".Value = True Then"</f>
        <v xml:space="preserve">    If Me.mic1_1.Value = True Then</v>
      </c>
    </row>
    <row r="4" spans="3:6" x14ac:dyDescent="0.2">
      <c r="E4" s="70" t="s">
        <v>367</v>
      </c>
      <c r="F4" t="s">
        <v>367</v>
      </c>
    </row>
    <row r="5" spans="3:6" x14ac:dyDescent="0.2">
      <c r="E5" s="70" t="s">
        <v>368</v>
      </c>
      <c r="F5" t="s">
        <v>368</v>
      </c>
    </row>
    <row r="6" spans="3:6" x14ac:dyDescent="0.2">
      <c r="E6" s="70" t="s">
        <v>369</v>
      </c>
      <c r="F6" t="s">
        <v>369</v>
      </c>
    </row>
    <row r="7" spans="3:6" x14ac:dyDescent="0.2">
      <c r="E7" s="70" t="s">
        <v>370</v>
      </c>
      <c r="F7" t="s">
        <v>370</v>
      </c>
    </row>
    <row r="8" spans="3:6" x14ac:dyDescent="0.2">
      <c r="E8" s="70" t="s">
        <v>371</v>
      </c>
      <c r="F8" t="s">
        <v>371</v>
      </c>
    </row>
    <row r="9" spans="3:6" x14ac:dyDescent="0.2">
      <c r="E9" s="70" t="s">
        <v>372</v>
      </c>
      <c r="F9" t="s">
        <v>372</v>
      </c>
    </row>
    <row r="10" spans="3:6" x14ac:dyDescent="0.2">
      <c r="F10"/>
    </row>
    <row r="11" spans="3:6" x14ac:dyDescent="0.2">
      <c r="E11" s="70" t="s">
        <v>373</v>
      </c>
      <c r="F11" t="s">
        <v>373</v>
      </c>
    </row>
    <row r="13" spans="3:6" x14ac:dyDescent="0.2">
      <c r="C13" s="70" t="s">
        <v>374</v>
      </c>
      <c r="F13" t="str">
        <f>"Private Sub "&amp;C13&amp;"_Click()"</f>
        <v>Private Sub mic1_2_Click()</v>
      </c>
    </row>
    <row r="14" spans="3:6" x14ac:dyDescent="0.2">
      <c r="F14"/>
    </row>
    <row r="15" spans="3:6" x14ac:dyDescent="0.2">
      <c r="F15" t="str">
        <f>"    If Me."&amp;C13&amp;".Value = True Then"</f>
        <v xml:space="preserve">    If Me.mic1_2.Value = True Then</v>
      </c>
    </row>
    <row r="16" spans="3:6" x14ac:dyDescent="0.2">
      <c r="F16" t="s">
        <v>367</v>
      </c>
    </row>
    <row r="17" spans="3:6" x14ac:dyDescent="0.2">
      <c r="F17" t="s">
        <v>368</v>
      </c>
    </row>
    <row r="18" spans="3:6" x14ac:dyDescent="0.2">
      <c r="F18" t="s">
        <v>369</v>
      </c>
    </row>
    <row r="19" spans="3:6" x14ac:dyDescent="0.2">
      <c r="F19" t="s">
        <v>370</v>
      </c>
    </row>
    <row r="20" spans="3:6" x14ac:dyDescent="0.2">
      <c r="F20" t="s">
        <v>371</v>
      </c>
    </row>
    <row r="21" spans="3:6" x14ac:dyDescent="0.2">
      <c r="F21" t="s">
        <v>372</v>
      </c>
    </row>
    <row r="22" spans="3:6" x14ac:dyDescent="0.2">
      <c r="F22"/>
    </row>
    <row r="23" spans="3:6" x14ac:dyDescent="0.2">
      <c r="F23" t="s">
        <v>373</v>
      </c>
    </row>
    <row r="25" spans="3:6" x14ac:dyDescent="0.2">
      <c r="C25" s="70" t="s">
        <v>375</v>
      </c>
      <c r="F25" s="70" t="str">
        <f>"Private Sub "&amp;C25&amp;"_Click()"</f>
        <v>Private Sub mic1_3_Click()</v>
      </c>
    </row>
    <row r="27" spans="3:6" x14ac:dyDescent="0.2">
      <c r="F27" s="70" t="str">
        <f>"    If Me."&amp;C25&amp;".Value = True Then"</f>
        <v xml:space="preserve">    If Me.mic1_3.Value = True Then</v>
      </c>
    </row>
    <row r="28" spans="3:6" x14ac:dyDescent="0.2">
      <c r="F28" s="70" t="s">
        <v>367</v>
      </c>
    </row>
    <row r="29" spans="3:6" x14ac:dyDescent="0.2">
      <c r="F29" s="70" t="s">
        <v>368</v>
      </c>
    </row>
    <row r="30" spans="3:6" x14ac:dyDescent="0.2">
      <c r="F30" s="70" t="s">
        <v>369</v>
      </c>
    </row>
    <row r="31" spans="3:6" x14ac:dyDescent="0.2">
      <c r="F31" s="70" t="s">
        <v>370</v>
      </c>
    </row>
    <row r="32" spans="3:6" x14ac:dyDescent="0.2">
      <c r="F32" s="70" t="s">
        <v>371</v>
      </c>
    </row>
    <row r="33" spans="3:6" x14ac:dyDescent="0.2">
      <c r="F33" s="70" t="s">
        <v>372</v>
      </c>
    </row>
    <row r="35" spans="3:6" x14ac:dyDescent="0.2">
      <c r="F35" s="70" t="s">
        <v>373</v>
      </c>
    </row>
    <row r="37" spans="3:6" x14ac:dyDescent="0.2">
      <c r="C37" s="70" t="s">
        <v>376</v>
      </c>
      <c r="F37" s="70" t="str">
        <f>"Private Sub "&amp;C37&amp;"_Click()"</f>
        <v>Private Sub mic1_4_Click()</v>
      </c>
    </row>
    <row r="39" spans="3:6" x14ac:dyDescent="0.2">
      <c r="F39" s="70" t="str">
        <f>"    If Me."&amp;C37&amp;".Value = True Then"</f>
        <v xml:space="preserve">    If Me.mic1_4.Value = True Then</v>
      </c>
    </row>
    <row r="40" spans="3:6" x14ac:dyDescent="0.2">
      <c r="F40" s="70" t="s">
        <v>367</v>
      </c>
    </row>
    <row r="41" spans="3:6" x14ac:dyDescent="0.2">
      <c r="F41" s="70" t="s">
        <v>368</v>
      </c>
    </row>
    <row r="42" spans="3:6" x14ac:dyDescent="0.2">
      <c r="F42" s="70" t="s">
        <v>369</v>
      </c>
    </row>
    <row r="43" spans="3:6" x14ac:dyDescent="0.2">
      <c r="F43" s="70" t="s">
        <v>370</v>
      </c>
    </row>
    <row r="44" spans="3:6" x14ac:dyDescent="0.2">
      <c r="F44" s="70" t="s">
        <v>371</v>
      </c>
    </row>
    <row r="45" spans="3:6" x14ac:dyDescent="0.2">
      <c r="F45" s="70" t="s">
        <v>372</v>
      </c>
    </row>
    <row r="47" spans="3:6" x14ac:dyDescent="0.2">
      <c r="F47" s="70" t="s">
        <v>373</v>
      </c>
    </row>
    <row r="49" spans="3:6" x14ac:dyDescent="0.2">
      <c r="C49" s="70" t="s">
        <v>377</v>
      </c>
      <c r="F49" s="70" t="str">
        <f>"Private Sub "&amp;C49&amp;"_Click()"</f>
        <v>Private Sub mic2_1_Click()</v>
      </c>
    </row>
    <row r="51" spans="3:6" x14ac:dyDescent="0.2">
      <c r="F51" s="70" t="str">
        <f>"    If Me."&amp;C49&amp;".Value = True Then"</f>
        <v xml:space="preserve">    If Me.mic2_1.Value = True Then</v>
      </c>
    </row>
    <row r="52" spans="3:6" x14ac:dyDescent="0.2">
      <c r="F52" s="70" t="s">
        <v>367</v>
      </c>
    </row>
    <row r="53" spans="3:6" x14ac:dyDescent="0.2">
      <c r="F53" s="70" t="s">
        <v>368</v>
      </c>
    </row>
    <row r="54" spans="3:6" x14ac:dyDescent="0.2">
      <c r="F54" s="70" t="s">
        <v>369</v>
      </c>
    </row>
    <row r="55" spans="3:6" x14ac:dyDescent="0.2">
      <c r="F55" s="70" t="s">
        <v>370</v>
      </c>
    </row>
    <row r="56" spans="3:6" x14ac:dyDescent="0.2">
      <c r="F56" s="70" t="s">
        <v>371</v>
      </c>
    </row>
    <row r="57" spans="3:6" x14ac:dyDescent="0.2">
      <c r="F57" s="70" t="s">
        <v>372</v>
      </c>
    </row>
    <row r="59" spans="3:6" x14ac:dyDescent="0.2">
      <c r="F59" s="70" t="s">
        <v>373</v>
      </c>
    </row>
    <row r="61" spans="3:6" x14ac:dyDescent="0.2">
      <c r="C61" s="70" t="s">
        <v>378</v>
      </c>
      <c r="F61" s="70" t="str">
        <f>"Private Sub "&amp;C61&amp;"_Click()"</f>
        <v>Private Sub mic2_2_Click()</v>
      </c>
    </row>
    <row r="63" spans="3:6" x14ac:dyDescent="0.2">
      <c r="F63" s="70" t="str">
        <f>"    If Me."&amp;C61&amp;".Value = True Then"</f>
        <v xml:space="preserve">    If Me.mic2_2.Value = True Then</v>
      </c>
    </row>
    <row r="64" spans="3:6" x14ac:dyDescent="0.2">
      <c r="F64" s="70" t="s">
        <v>367</v>
      </c>
    </row>
    <row r="65" spans="3:6" x14ac:dyDescent="0.2">
      <c r="F65" s="70" t="s">
        <v>368</v>
      </c>
    </row>
    <row r="66" spans="3:6" x14ac:dyDescent="0.2">
      <c r="F66" s="70" t="s">
        <v>369</v>
      </c>
    </row>
    <row r="67" spans="3:6" x14ac:dyDescent="0.2">
      <c r="F67" s="70" t="s">
        <v>370</v>
      </c>
    </row>
    <row r="68" spans="3:6" x14ac:dyDescent="0.2">
      <c r="F68" s="70" t="s">
        <v>371</v>
      </c>
    </row>
    <row r="69" spans="3:6" x14ac:dyDescent="0.2">
      <c r="F69" s="70" t="s">
        <v>372</v>
      </c>
    </row>
    <row r="71" spans="3:6" x14ac:dyDescent="0.2">
      <c r="F71" s="70" t="s">
        <v>373</v>
      </c>
    </row>
    <row r="73" spans="3:6" x14ac:dyDescent="0.2">
      <c r="C73" s="70" t="s">
        <v>379</v>
      </c>
      <c r="F73" s="70" t="str">
        <f>"Private Sub "&amp;C73&amp;"_Click()"</f>
        <v>Private Sub mic2_3_Click()</v>
      </c>
    </row>
    <row r="75" spans="3:6" x14ac:dyDescent="0.2">
      <c r="F75" s="70" t="str">
        <f>"    If Me."&amp;C73&amp;".Value = True Then"</f>
        <v xml:space="preserve">    If Me.mic2_3.Value = True Then</v>
      </c>
    </row>
    <row r="76" spans="3:6" x14ac:dyDescent="0.2">
      <c r="F76" s="70" t="s">
        <v>367</v>
      </c>
    </row>
    <row r="77" spans="3:6" x14ac:dyDescent="0.2">
      <c r="F77" s="70" t="s">
        <v>368</v>
      </c>
    </row>
    <row r="78" spans="3:6" x14ac:dyDescent="0.2">
      <c r="F78" s="70" t="s">
        <v>369</v>
      </c>
    </row>
    <row r="79" spans="3:6" x14ac:dyDescent="0.2">
      <c r="F79" s="70" t="s">
        <v>370</v>
      </c>
    </row>
    <row r="80" spans="3:6" x14ac:dyDescent="0.2">
      <c r="F80" s="70" t="s">
        <v>371</v>
      </c>
    </row>
    <row r="81" spans="3:6" x14ac:dyDescent="0.2">
      <c r="F81" s="70" t="s">
        <v>372</v>
      </c>
    </row>
    <row r="83" spans="3:6" x14ac:dyDescent="0.2">
      <c r="F83" s="70" t="s">
        <v>373</v>
      </c>
    </row>
    <row r="85" spans="3:6" x14ac:dyDescent="0.2">
      <c r="C85" s="70" t="s">
        <v>380</v>
      </c>
      <c r="F85" s="70" t="str">
        <f>"Private Sub "&amp;C85&amp;"_Click()"</f>
        <v>Private Sub mic2_4_Click()</v>
      </c>
    </row>
    <row r="87" spans="3:6" x14ac:dyDescent="0.2">
      <c r="F87" s="70" t="str">
        <f>"    If Me."&amp;C85&amp;".Value = True Then"</f>
        <v xml:space="preserve">    If Me.mic2_4.Value = True Then</v>
      </c>
    </row>
    <row r="88" spans="3:6" x14ac:dyDescent="0.2">
      <c r="F88" s="70" t="s">
        <v>367</v>
      </c>
    </row>
    <row r="89" spans="3:6" x14ac:dyDescent="0.2">
      <c r="F89" s="70" t="s">
        <v>368</v>
      </c>
    </row>
    <row r="90" spans="3:6" x14ac:dyDescent="0.2">
      <c r="F90" s="70" t="s">
        <v>369</v>
      </c>
    </row>
    <row r="91" spans="3:6" x14ac:dyDescent="0.2">
      <c r="F91" s="70" t="s">
        <v>370</v>
      </c>
    </row>
    <row r="92" spans="3:6" x14ac:dyDescent="0.2">
      <c r="F92" s="70" t="s">
        <v>371</v>
      </c>
    </row>
    <row r="93" spans="3:6" x14ac:dyDescent="0.2">
      <c r="F93" s="70" t="s">
        <v>372</v>
      </c>
    </row>
    <row r="95" spans="3:6" x14ac:dyDescent="0.2">
      <c r="F95" s="70" t="s">
        <v>373</v>
      </c>
    </row>
    <row r="97" spans="3:6" x14ac:dyDescent="0.2">
      <c r="C97" s="70" t="s">
        <v>381</v>
      </c>
      <c r="F97" s="70" t="str">
        <f>"Private Sub "&amp;C97&amp;"_Click()"</f>
        <v>Private Sub mic3_1_Click()</v>
      </c>
    </row>
    <row r="99" spans="3:6" x14ac:dyDescent="0.2">
      <c r="F99" s="70" t="str">
        <f>"    If Me."&amp;C97&amp;".Value = True Then"</f>
        <v xml:space="preserve">    If Me.mic3_1.Value = True Then</v>
      </c>
    </row>
    <row r="100" spans="3:6" x14ac:dyDescent="0.2">
      <c r="F100" s="70" t="s">
        <v>367</v>
      </c>
    </row>
    <row r="101" spans="3:6" x14ac:dyDescent="0.2">
      <c r="F101" s="70" t="s">
        <v>368</v>
      </c>
    </row>
    <row r="102" spans="3:6" x14ac:dyDescent="0.2">
      <c r="F102" s="70" t="s">
        <v>369</v>
      </c>
    </row>
    <row r="103" spans="3:6" x14ac:dyDescent="0.2">
      <c r="F103" s="70" t="s">
        <v>370</v>
      </c>
    </row>
    <row r="104" spans="3:6" x14ac:dyDescent="0.2">
      <c r="F104" s="70" t="s">
        <v>371</v>
      </c>
    </row>
    <row r="105" spans="3:6" x14ac:dyDescent="0.2">
      <c r="F105" s="70" t="s">
        <v>372</v>
      </c>
    </row>
    <row r="107" spans="3:6" x14ac:dyDescent="0.2">
      <c r="F107" s="70" t="s">
        <v>373</v>
      </c>
    </row>
    <row r="109" spans="3:6" x14ac:dyDescent="0.2">
      <c r="C109" s="70" t="s">
        <v>382</v>
      </c>
      <c r="F109" s="70" t="str">
        <f>"Private Sub "&amp;C109&amp;"_Click()"</f>
        <v>Private Sub mic3_2_Click()</v>
      </c>
    </row>
    <row r="111" spans="3:6" x14ac:dyDescent="0.2">
      <c r="F111" s="70" t="str">
        <f>"    If Me."&amp;C109&amp;".Value = True Then"</f>
        <v xml:space="preserve">    If Me.mic3_2.Value = True Then</v>
      </c>
    </row>
    <row r="112" spans="3:6" x14ac:dyDescent="0.2">
      <c r="F112" s="70" t="s">
        <v>367</v>
      </c>
    </row>
    <row r="113" spans="3:6" x14ac:dyDescent="0.2">
      <c r="F113" s="70" t="s">
        <v>368</v>
      </c>
    </row>
    <row r="114" spans="3:6" x14ac:dyDescent="0.2">
      <c r="F114" s="70" t="s">
        <v>369</v>
      </c>
    </row>
    <row r="115" spans="3:6" x14ac:dyDescent="0.2">
      <c r="F115" s="70" t="s">
        <v>370</v>
      </c>
    </row>
    <row r="116" spans="3:6" x14ac:dyDescent="0.2">
      <c r="F116" s="70" t="s">
        <v>371</v>
      </c>
    </row>
    <row r="117" spans="3:6" x14ac:dyDescent="0.2">
      <c r="F117" s="70" t="s">
        <v>372</v>
      </c>
    </row>
    <row r="119" spans="3:6" x14ac:dyDescent="0.2">
      <c r="F119" s="70" t="s">
        <v>373</v>
      </c>
    </row>
    <row r="121" spans="3:6" x14ac:dyDescent="0.2">
      <c r="C121" s="70" t="s">
        <v>383</v>
      </c>
      <c r="F121" s="70" t="str">
        <f>"Private Sub "&amp;C121&amp;"_Click()"</f>
        <v>Private Sub mic3_3_Click()</v>
      </c>
    </row>
    <row r="123" spans="3:6" x14ac:dyDescent="0.2">
      <c r="F123" s="70" t="str">
        <f>"    If Me."&amp;C121&amp;".Value = True Then"</f>
        <v xml:space="preserve">    If Me.mic3_3.Value = True Then</v>
      </c>
    </row>
    <row r="124" spans="3:6" x14ac:dyDescent="0.2">
      <c r="F124" s="70" t="s">
        <v>367</v>
      </c>
    </row>
    <row r="125" spans="3:6" x14ac:dyDescent="0.2">
      <c r="F125" s="70" t="s">
        <v>368</v>
      </c>
    </row>
    <row r="126" spans="3:6" x14ac:dyDescent="0.2">
      <c r="F126" s="70" t="s">
        <v>369</v>
      </c>
    </row>
    <row r="127" spans="3:6" x14ac:dyDescent="0.2">
      <c r="F127" s="70" t="s">
        <v>370</v>
      </c>
    </row>
    <row r="128" spans="3:6" x14ac:dyDescent="0.2">
      <c r="F128" s="70" t="s">
        <v>371</v>
      </c>
    </row>
    <row r="129" spans="3:6" x14ac:dyDescent="0.2">
      <c r="F129" s="70" t="s">
        <v>372</v>
      </c>
    </row>
    <row r="131" spans="3:6" x14ac:dyDescent="0.2">
      <c r="F131" s="70" t="s">
        <v>373</v>
      </c>
    </row>
    <row r="133" spans="3:6" x14ac:dyDescent="0.2">
      <c r="C133" s="70" t="s">
        <v>384</v>
      </c>
      <c r="F133" s="70" t="str">
        <f>"Private Sub "&amp;C133&amp;"_Click()"</f>
        <v>Private Sub mic3_4_Click()</v>
      </c>
    </row>
    <row r="135" spans="3:6" x14ac:dyDescent="0.2">
      <c r="F135" s="70" t="str">
        <f>"    If Me."&amp;C133&amp;".Value = True Then"</f>
        <v xml:space="preserve">    If Me.mic3_4.Value = True Then</v>
      </c>
    </row>
    <row r="136" spans="3:6" x14ac:dyDescent="0.2">
      <c r="F136" s="70" t="s">
        <v>367</v>
      </c>
    </row>
    <row r="137" spans="3:6" x14ac:dyDescent="0.2">
      <c r="F137" s="70" t="s">
        <v>368</v>
      </c>
    </row>
    <row r="138" spans="3:6" x14ac:dyDescent="0.2">
      <c r="F138" s="70" t="s">
        <v>369</v>
      </c>
    </row>
    <row r="139" spans="3:6" x14ac:dyDescent="0.2">
      <c r="F139" s="70" t="s">
        <v>370</v>
      </c>
    </row>
    <row r="140" spans="3:6" x14ac:dyDescent="0.2">
      <c r="F140" s="70" t="s">
        <v>371</v>
      </c>
    </row>
    <row r="141" spans="3:6" x14ac:dyDescent="0.2">
      <c r="F141" s="70" t="s">
        <v>372</v>
      </c>
    </row>
    <row r="143" spans="3:6" x14ac:dyDescent="0.2">
      <c r="F143" s="70" t="s">
        <v>373</v>
      </c>
    </row>
    <row r="145" spans="3:6" x14ac:dyDescent="0.2">
      <c r="C145" s="70" t="s">
        <v>385</v>
      </c>
      <c r="F145" s="70" t="str">
        <f>"Private Sub "&amp;C145&amp;"_Click()"</f>
        <v>Private Sub mic4_1_Click()</v>
      </c>
    </row>
    <row r="147" spans="3:6" x14ac:dyDescent="0.2">
      <c r="F147" s="70" t="str">
        <f>"    If Me."&amp;C145&amp;".Value = True Then"</f>
        <v xml:space="preserve">    If Me.mic4_1.Value = True Then</v>
      </c>
    </row>
    <row r="148" spans="3:6" x14ac:dyDescent="0.2">
      <c r="F148" s="70" t="s">
        <v>367</v>
      </c>
    </row>
    <row r="149" spans="3:6" x14ac:dyDescent="0.2">
      <c r="F149" s="70" t="s">
        <v>368</v>
      </c>
    </row>
    <row r="150" spans="3:6" x14ac:dyDescent="0.2">
      <c r="F150" s="70" t="s">
        <v>369</v>
      </c>
    </row>
    <row r="151" spans="3:6" x14ac:dyDescent="0.2">
      <c r="F151" s="70" t="s">
        <v>370</v>
      </c>
    </row>
    <row r="152" spans="3:6" x14ac:dyDescent="0.2">
      <c r="F152" s="70" t="s">
        <v>371</v>
      </c>
    </row>
    <row r="153" spans="3:6" x14ac:dyDescent="0.2">
      <c r="F153" s="70" t="s">
        <v>372</v>
      </c>
    </row>
    <row r="155" spans="3:6" x14ac:dyDescent="0.2">
      <c r="F155" s="70" t="s">
        <v>373</v>
      </c>
    </row>
    <row r="157" spans="3:6" x14ac:dyDescent="0.2">
      <c r="C157" s="70" t="s">
        <v>386</v>
      </c>
      <c r="F157" s="70" t="str">
        <f>"Private Sub "&amp;C157&amp;"_Click()"</f>
        <v>Private Sub mic4_2_Click()</v>
      </c>
    </row>
    <row r="159" spans="3:6" x14ac:dyDescent="0.2">
      <c r="F159" s="70" t="str">
        <f>"    If Me."&amp;C157&amp;".Value = True Then"</f>
        <v xml:space="preserve">    If Me.mic4_2.Value = True Then</v>
      </c>
    </row>
    <row r="160" spans="3:6" x14ac:dyDescent="0.2">
      <c r="F160" s="70" t="s">
        <v>367</v>
      </c>
    </row>
    <row r="161" spans="3:6" x14ac:dyDescent="0.2">
      <c r="F161" s="70" t="s">
        <v>368</v>
      </c>
    </row>
    <row r="162" spans="3:6" x14ac:dyDescent="0.2">
      <c r="F162" s="70" t="s">
        <v>369</v>
      </c>
    </row>
    <row r="163" spans="3:6" x14ac:dyDescent="0.2">
      <c r="F163" s="70" t="s">
        <v>370</v>
      </c>
    </row>
    <row r="164" spans="3:6" x14ac:dyDescent="0.2">
      <c r="F164" s="70" t="s">
        <v>371</v>
      </c>
    </row>
    <row r="165" spans="3:6" x14ac:dyDescent="0.2">
      <c r="F165" s="70" t="s">
        <v>372</v>
      </c>
    </row>
    <row r="167" spans="3:6" x14ac:dyDescent="0.2">
      <c r="F167" s="70" t="s">
        <v>373</v>
      </c>
    </row>
    <row r="169" spans="3:6" x14ac:dyDescent="0.2">
      <c r="C169" s="70" t="s">
        <v>387</v>
      </c>
      <c r="F169" s="70" t="str">
        <f>"Private Sub "&amp;C169&amp;"_Click()"</f>
        <v>Private Sub mic4_3_Click()</v>
      </c>
    </row>
    <row r="171" spans="3:6" x14ac:dyDescent="0.2">
      <c r="F171" s="70" t="str">
        <f>"    If Me."&amp;C169&amp;".Value = True Then"</f>
        <v xml:space="preserve">    If Me.mic4_3.Value = True Then</v>
      </c>
    </row>
    <row r="172" spans="3:6" x14ac:dyDescent="0.2">
      <c r="F172" s="70" t="s">
        <v>367</v>
      </c>
    </row>
    <row r="173" spans="3:6" x14ac:dyDescent="0.2">
      <c r="F173" s="70" t="s">
        <v>368</v>
      </c>
    </row>
    <row r="174" spans="3:6" x14ac:dyDescent="0.2">
      <c r="F174" s="70" t="s">
        <v>369</v>
      </c>
    </row>
    <row r="175" spans="3:6" x14ac:dyDescent="0.2">
      <c r="F175" s="70" t="s">
        <v>370</v>
      </c>
    </row>
    <row r="176" spans="3:6" x14ac:dyDescent="0.2">
      <c r="F176" s="70" t="s">
        <v>371</v>
      </c>
    </row>
    <row r="177" spans="3:6" x14ac:dyDescent="0.2">
      <c r="F177" s="70" t="s">
        <v>372</v>
      </c>
    </row>
    <row r="179" spans="3:6" x14ac:dyDescent="0.2">
      <c r="F179" s="70" t="s">
        <v>373</v>
      </c>
    </row>
    <row r="181" spans="3:6" x14ac:dyDescent="0.2">
      <c r="C181" s="70" t="s">
        <v>388</v>
      </c>
      <c r="F181" s="70" t="str">
        <f>"Private Sub "&amp;C181&amp;"_Click()"</f>
        <v>Private Sub mic4_4_Click()</v>
      </c>
    </row>
    <row r="183" spans="3:6" x14ac:dyDescent="0.2">
      <c r="F183" s="70" t="str">
        <f>"    If Me."&amp;C181&amp;".Value = True Then"</f>
        <v xml:space="preserve">    If Me.mic4_4.Value = True Then</v>
      </c>
    </row>
    <row r="184" spans="3:6" x14ac:dyDescent="0.2">
      <c r="F184" s="70" t="s">
        <v>367</v>
      </c>
    </row>
    <row r="185" spans="3:6" x14ac:dyDescent="0.2">
      <c r="F185" s="70" t="s">
        <v>368</v>
      </c>
    </row>
    <row r="186" spans="3:6" x14ac:dyDescent="0.2">
      <c r="F186" s="70" t="s">
        <v>369</v>
      </c>
    </row>
    <row r="187" spans="3:6" x14ac:dyDescent="0.2">
      <c r="F187" s="70" t="s">
        <v>370</v>
      </c>
    </row>
    <row r="188" spans="3:6" x14ac:dyDescent="0.2">
      <c r="F188" s="70" t="s">
        <v>371</v>
      </c>
    </row>
    <row r="189" spans="3:6" x14ac:dyDescent="0.2">
      <c r="F189" s="70" t="s">
        <v>372</v>
      </c>
    </row>
    <row r="191" spans="3:6" x14ac:dyDescent="0.2">
      <c r="F191" s="70" t="s">
        <v>373</v>
      </c>
    </row>
    <row r="193" spans="3:6" x14ac:dyDescent="0.2">
      <c r="C193" s="70" t="s">
        <v>389</v>
      </c>
      <c r="F193" s="70" t="str">
        <f>"Private Sub "&amp;C193&amp;"_Click()"</f>
        <v>Private Sub mic5_1_Click()</v>
      </c>
    </row>
    <row r="195" spans="3:6" x14ac:dyDescent="0.2">
      <c r="F195" s="70" t="str">
        <f>"    If Me."&amp;C193&amp;".Value = True Then"</f>
        <v xml:space="preserve">    If Me.mic5_1.Value = True Then</v>
      </c>
    </row>
    <row r="196" spans="3:6" x14ac:dyDescent="0.2">
      <c r="F196" s="70" t="s">
        <v>367</v>
      </c>
    </row>
    <row r="197" spans="3:6" x14ac:dyDescent="0.2">
      <c r="F197" s="70" t="s">
        <v>368</v>
      </c>
    </row>
    <row r="198" spans="3:6" x14ac:dyDescent="0.2">
      <c r="F198" s="70" t="s">
        <v>369</v>
      </c>
    </row>
    <row r="199" spans="3:6" x14ac:dyDescent="0.2">
      <c r="F199" s="70" t="s">
        <v>370</v>
      </c>
    </row>
    <row r="200" spans="3:6" x14ac:dyDescent="0.2">
      <c r="F200" s="70" t="s">
        <v>371</v>
      </c>
    </row>
    <row r="201" spans="3:6" x14ac:dyDescent="0.2">
      <c r="F201" s="70" t="s">
        <v>372</v>
      </c>
    </row>
    <row r="203" spans="3:6" x14ac:dyDescent="0.2">
      <c r="F203" s="70" t="s">
        <v>373</v>
      </c>
    </row>
    <row r="205" spans="3:6" x14ac:dyDescent="0.2">
      <c r="C205" s="70" t="s">
        <v>390</v>
      </c>
      <c r="F205" s="70" t="str">
        <f>"Private Sub "&amp;C205&amp;"_Click()"</f>
        <v>Private Sub mic5_2_Click()</v>
      </c>
    </row>
    <row r="207" spans="3:6" x14ac:dyDescent="0.2">
      <c r="F207" s="70" t="str">
        <f>"    If Me."&amp;C205&amp;".Value = True Then"</f>
        <v xml:space="preserve">    If Me.mic5_2.Value = True Then</v>
      </c>
    </row>
    <row r="208" spans="3:6" x14ac:dyDescent="0.2">
      <c r="F208" s="70" t="s">
        <v>367</v>
      </c>
    </row>
    <row r="209" spans="3:6" x14ac:dyDescent="0.2">
      <c r="F209" s="70" t="s">
        <v>368</v>
      </c>
    </row>
    <row r="210" spans="3:6" x14ac:dyDescent="0.2">
      <c r="F210" s="70" t="s">
        <v>369</v>
      </c>
    </row>
    <row r="211" spans="3:6" x14ac:dyDescent="0.2">
      <c r="F211" s="70" t="s">
        <v>370</v>
      </c>
    </row>
    <row r="212" spans="3:6" x14ac:dyDescent="0.2">
      <c r="F212" s="70" t="s">
        <v>371</v>
      </c>
    </row>
    <row r="213" spans="3:6" x14ac:dyDescent="0.2">
      <c r="F213" s="70" t="s">
        <v>372</v>
      </c>
    </row>
    <row r="215" spans="3:6" x14ac:dyDescent="0.2">
      <c r="F215" s="70" t="s">
        <v>373</v>
      </c>
    </row>
    <row r="217" spans="3:6" x14ac:dyDescent="0.2">
      <c r="C217" s="70" t="s">
        <v>391</v>
      </c>
      <c r="F217" s="70" t="str">
        <f>"Private Sub "&amp;C217&amp;"_Click()"</f>
        <v>Private Sub mic5_3_Click()</v>
      </c>
    </row>
    <row r="219" spans="3:6" x14ac:dyDescent="0.2">
      <c r="F219" s="70" t="str">
        <f>"    If Me."&amp;C217&amp;".Value = True Then"</f>
        <v xml:space="preserve">    If Me.mic5_3.Value = True Then</v>
      </c>
    </row>
    <row r="220" spans="3:6" x14ac:dyDescent="0.2">
      <c r="F220" s="70" t="s">
        <v>367</v>
      </c>
    </row>
    <row r="221" spans="3:6" x14ac:dyDescent="0.2">
      <c r="F221" s="70" t="s">
        <v>368</v>
      </c>
    </row>
    <row r="222" spans="3:6" x14ac:dyDescent="0.2">
      <c r="F222" s="70" t="s">
        <v>369</v>
      </c>
    </row>
    <row r="223" spans="3:6" x14ac:dyDescent="0.2">
      <c r="F223" s="70" t="s">
        <v>370</v>
      </c>
    </row>
    <row r="224" spans="3:6" x14ac:dyDescent="0.2">
      <c r="F224" s="70" t="s">
        <v>371</v>
      </c>
    </row>
    <row r="225" spans="3:6" x14ac:dyDescent="0.2">
      <c r="F225" s="70" t="s">
        <v>372</v>
      </c>
    </row>
    <row r="227" spans="3:6" x14ac:dyDescent="0.2">
      <c r="F227" s="70" t="s">
        <v>373</v>
      </c>
    </row>
    <row r="229" spans="3:6" x14ac:dyDescent="0.2">
      <c r="C229" s="70" t="s">
        <v>392</v>
      </c>
      <c r="F229" s="70" t="str">
        <f>"Private Sub "&amp;C229&amp;"_Click()"</f>
        <v>Private Sub mic5_4_Click()</v>
      </c>
    </row>
    <row r="231" spans="3:6" x14ac:dyDescent="0.2">
      <c r="F231" s="70" t="str">
        <f>"    If Me."&amp;C229&amp;".Value = True Then"</f>
        <v xml:space="preserve">    If Me.mic5_4.Value = True Then</v>
      </c>
    </row>
    <row r="232" spans="3:6" x14ac:dyDescent="0.2">
      <c r="F232" s="70" t="s">
        <v>367</v>
      </c>
    </row>
    <row r="233" spans="3:6" x14ac:dyDescent="0.2">
      <c r="F233" s="70" t="s">
        <v>368</v>
      </c>
    </row>
    <row r="234" spans="3:6" x14ac:dyDescent="0.2">
      <c r="F234" s="70" t="s">
        <v>369</v>
      </c>
    </row>
    <row r="235" spans="3:6" x14ac:dyDescent="0.2">
      <c r="F235" s="70" t="s">
        <v>370</v>
      </c>
    </row>
    <row r="236" spans="3:6" x14ac:dyDescent="0.2">
      <c r="F236" s="70" t="s">
        <v>371</v>
      </c>
    </row>
    <row r="237" spans="3:6" x14ac:dyDescent="0.2">
      <c r="F237" s="70" t="s">
        <v>372</v>
      </c>
    </row>
    <row r="239" spans="3:6" x14ac:dyDescent="0.2">
      <c r="F239" s="70" t="s">
        <v>373</v>
      </c>
    </row>
    <row r="241" spans="3:6" x14ac:dyDescent="0.2">
      <c r="C241" s="70" t="s">
        <v>393</v>
      </c>
      <c r="F241" s="70" t="str">
        <f>"Private Sub "&amp;C241&amp;"_Click()"</f>
        <v>Private Sub mic6_1_Click()</v>
      </c>
    </row>
    <row r="243" spans="3:6" x14ac:dyDescent="0.2">
      <c r="F243" s="70" t="str">
        <f>"    If Me."&amp;C241&amp;".Value = True Then"</f>
        <v xml:space="preserve">    If Me.mic6_1.Value = True Then</v>
      </c>
    </row>
    <row r="244" spans="3:6" x14ac:dyDescent="0.2">
      <c r="F244" s="70" t="s">
        <v>367</v>
      </c>
    </row>
    <row r="245" spans="3:6" x14ac:dyDescent="0.2">
      <c r="F245" s="70" t="s">
        <v>368</v>
      </c>
    </row>
    <row r="246" spans="3:6" x14ac:dyDescent="0.2">
      <c r="F246" s="70" t="s">
        <v>369</v>
      </c>
    </row>
    <row r="247" spans="3:6" x14ac:dyDescent="0.2">
      <c r="F247" s="70" t="s">
        <v>370</v>
      </c>
    </row>
    <row r="248" spans="3:6" x14ac:dyDescent="0.2">
      <c r="F248" s="70" t="s">
        <v>371</v>
      </c>
    </row>
    <row r="249" spans="3:6" x14ac:dyDescent="0.2">
      <c r="F249" s="70" t="s">
        <v>372</v>
      </c>
    </row>
    <row r="251" spans="3:6" x14ac:dyDescent="0.2">
      <c r="F251" s="70" t="s">
        <v>373</v>
      </c>
    </row>
    <row r="253" spans="3:6" x14ac:dyDescent="0.2">
      <c r="C253" s="70" t="s">
        <v>394</v>
      </c>
      <c r="F253" s="70" t="str">
        <f>"Private Sub "&amp;C253&amp;"_Click()"</f>
        <v>Private Sub mic6_2_Click()</v>
      </c>
    </row>
    <row r="255" spans="3:6" x14ac:dyDescent="0.2">
      <c r="F255" s="70" t="str">
        <f>"    If Me."&amp;C253&amp;".Value = True Then"</f>
        <v xml:space="preserve">    If Me.mic6_2.Value = True Then</v>
      </c>
    </row>
    <row r="256" spans="3:6" x14ac:dyDescent="0.2">
      <c r="F256" s="70" t="s">
        <v>367</v>
      </c>
    </row>
    <row r="257" spans="3:6" x14ac:dyDescent="0.2">
      <c r="F257" s="70" t="s">
        <v>368</v>
      </c>
    </row>
    <row r="258" spans="3:6" x14ac:dyDescent="0.2">
      <c r="F258" s="70" t="s">
        <v>369</v>
      </c>
    </row>
    <row r="259" spans="3:6" x14ac:dyDescent="0.2">
      <c r="F259" s="70" t="s">
        <v>370</v>
      </c>
    </row>
    <row r="260" spans="3:6" x14ac:dyDescent="0.2">
      <c r="F260" s="70" t="s">
        <v>371</v>
      </c>
    </row>
    <row r="261" spans="3:6" x14ac:dyDescent="0.2">
      <c r="F261" s="70" t="s">
        <v>372</v>
      </c>
    </row>
    <row r="263" spans="3:6" x14ac:dyDescent="0.2">
      <c r="F263" s="70" t="s">
        <v>373</v>
      </c>
    </row>
    <row r="265" spans="3:6" x14ac:dyDescent="0.2">
      <c r="C265" s="70" t="s">
        <v>395</v>
      </c>
      <c r="F265" s="70" t="str">
        <f>"Private Sub "&amp;C265&amp;"_Click()"</f>
        <v>Private Sub mic6_3_Click()</v>
      </c>
    </row>
    <row r="267" spans="3:6" x14ac:dyDescent="0.2">
      <c r="F267" s="70" t="str">
        <f>"    If Me."&amp;C265&amp;".Value = True Then"</f>
        <v xml:space="preserve">    If Me.mic6_3.Value = True Then</v>
      </c>
    </row>
    <row r="268" spans="3:6" x14ac:dyDescent="0.2">
      <c r="F268" s="70" t="s">
        <v>367</v>
      </c>
    </row>
    <row r="269" spans="3:6" x14ac:dyDescent="0.2">
      <c r="F269" s="70" t="s">
        <v>368</v>
      </c>
    </row>
    <row r="270" spans="3:6" x14ac:dyDescent="0.2">
      <c r="F270" s="70" t="s">
        <v>369</v>
      </c>
    </row>
    <row r="271" spans="3:6" x14ac:dyDescent="0.2">
      <c r="F271" s="70" t="s">
        <v>370</v>
      </c>
    </row>
    <row r="272" spans="3:6" x14ac:dyDescent="0.2">
      <c r="F272" s="70" t="s">
        <v>371</v>
      </c>
    </row>
    <row r="273" spans="3:6" x14ac:dyDescent="0.2">
      <c r="F273" s="70" t="s">
        <v>372</v>
      </c>
    </row>
    <row r="275" spans="3:6" x14ac:dyDescent="0.2">
      <c r="F275" s="70" t="s">
        <v>373</v>
      </c>
    </row>
    <row r="277" spans="3:6" x14ac:dyDescent="0.2">
      <c r="C277" s="70" t="s">
        <v>396</v>
      </c>
      <c r="F277" s="70" t="str">
        <f>"Private Sub "&amp;C277&amp;"_Click()"</f>
        <v>Private Sub mic6_4_Click()</v>
      </c>
    </row>
    <row r="279" spans="3:6" x14ac:dyDescent="0.2">
      <c r="F279" s="70" t="str">
        <f>"    If Me."&amp;C277&amp;".Value = True Then"</f>
        <v xml:space="preserve">    If Me.mic6_4.Value = True Then</v>
      </c>
    </row>
    <row r="280" spans="3:6" x14ac:dyDescent="0.2">
      <c r="F280" s="70" t="s">
        <v>367</v>
      </c>
    </row>
    <row r="281" spans="3:6" x14ac:dyDescent="0.2">
      <c r="F281" s="70" t="s">
        <v>368</v>
      </c>
    </row>
    <row r="282" spans="3:6" x14ac:dyDescent="0.2">
      <c r="F282" s="70" t="s">
        <v>369</v>
      </c>
    </row>
    <row r="283" spans="3:6" x14ac:dyDescent="0.2">
      <c r="F283" s="70" t="s">
        <v>370</v>
      </c>
    </row>
    <row r="284" spans="3:6" x14ac:dyDescent="0.2">
      <c r="F284" s="70" t="s">
        <v>371</v>
      </c>
    </row>
    <row r="285" spans="3:6" x14ac:dyDescent="0.2">
      <c r="F285" s="70" t="s">
        <v>372</v>
      </c>
    </row>
    <row r="287" spans="3:6" x14ac:dyDescent="0.2">
      <c r="F287" s="70" t="s">
        <v>373</v>
      </c>
    </row>
    <row r="289" spans="3:6" x14ac:dyDescent="0.2">
      <c r="C289" s="70" t="s">
        <v>397</v>
      </c>
      <c r="F289" s="70" t="str">
        <f>"Private Sub "&amp;C289&amp;"_Click()"</f>
        <v>Private Sub mic7_1_Click()</v>
      </c>
    </row>
    <row r="291" spans="3:6" x14ac:dyDescent="0.2">
      <c r="F291" s="70" t="str">
        <f>"    If Me."&amp;C289&amp;".Value = True Then"</f>
        <v xml:space="preserve">    If Me.mic7_1.Value = True Then</v>
      </c>
    </row>
    <row r="292" spans="3:6" x14ac:dyDescent="0.2">
      <c r="F292" s="70" t="s">
        <v>367</v>
      </c>
    </row>
    <row r="293" spans="3:6" x14ac:dyDescent="0.2">
      <c r="F293" s="70" t="s">
        <v>368</v>
      </c>
    </row>
    <row r="294" spans="3:6" x14ac:dyDescent="0.2">
      <c r="F294" s="70" t="s">
        <v>369</v>
      </c>
    </row>
    <row r="295" spans="3:6" x14ac:dyDescent="0.2">
      <c r="F295" s="70" t="s">
        <v>370</v>
      </c>
    </row>
    <row r="296" spans="3:6" x14ac:dyDescent="0.2">
      <c r="F296" s="70" t="s">
        <v>371</v>
      </c>
    </row>
    <row r="297" spans="3:6" x14ac:dyDescent="0.2">
      <c r="F297" s="70" t="s">
        <v>372</v>
      </c>
    </row>
    <row r="299" spans="3:6" x14ac:dyDescent="0.2">
      <c r="F299" s="70" t="s">
        <v>373</v>
      </c>
    </row>
    <row r="301" spans="3:6" x14ac:dyDescent="0.2">
      <c r="C301" s="70" t="s">
        <v>398</v>
      </c>
      <c r="F301" s="70" t="str">
        <f>"Private Sub "&amp;C301&amp;"_Click()"</f>
        <v>Private Sub mic7_2_Click()</v>
      </c>
    </row>
    <row r="303" spans="3:6" x14ac:dyDescent="0.2">
      <c r="F303" s="70" t="str">
        <f>"    If Me."&amp;C301&amp;".Value = True Then"</f>
        <v xml:space="preserve">    If Me.mic7_2.Value = True Then</v>
      </c>
    </row>
    <row r="304" spans="3:6" x14ac:dyDescent="0.2">
      <c r="F304" s="70" t="s">
        <v>367</v>
      </c>
    </row>
    <row r="305" spans="3:6" x14ac:dyDescent="0.2">
      <c r="F305" s="70" t="s">
        <v>368</v>
      </c>
    </row>
    <row r="306" spans="3:6" x14ac:dyDescent="0.2">
      <c r="F306" s="70" t="s">
        <v>369</v>
      </c>
    </row>
    <row r="307" spans="3:6" x14ac:dyDescent="0.2">
      <c r="F307" s="70" t="s">
        <v>370</v>
      </c>
    </row>
    <row r="308" spans="3:6" x14ac:dyDescent="0.2">
      <c r="F308" s="70" t="s">
        <v>371</v>
      </c>
    </row>
    <row r="309" spans="3:6" x14ac:dyDescent="0.2">
      <c r="F309" s="70" t="s">
        <v>372</v>
      </c>
    </row>
    <row r="311" spans="3:6" x14ac:dyDescent="0.2">
      <c r="F311" s="70" t="s">
        <v>373</v>
      </c>
    </row>
    <row r="313" spans="3:6" x14ac:dyDescent="0.2">
      <c r="C313" s="70" t="s">
        <v>399</v>
      </c>
      <c r="F313" s="70" t="str">
        <f>"Private Sub "&amp;C313&amp;"_Click()"</f>
        <v>Private Sub mic7_3_Click()</v>
      </c>
    </row>
    <row r="315" spans="3:6" x14ac:dyDescent="0.2">
      <c r="F315" s="70" t="str">
        <f>"    If Me."&amp;C313&amp;".Value = True Then"</f>
        <v xml:space="preserve">    If Me.mic7_3.Value = True Then</v>
      </c>
    </row>
    <row r="316" spans="3:6" x14ac:dyDescent="0.2">
      <c r="F316" s="70" t="s">
        <v>367</v>
      </c>
    </row>
    <row r="317" spans="3:6" x14ac:dyDescent="0.2">
      <c r="F317" s="70" t="s">
        <v>368</v>
      </c>
    </row>
    <row r="318" spans="3:6" x14ac:dyDescent="0.2">
      <c r="F318" s="70" t="s">
        <v>369</v>
      </c>
    </row>
    <row r="319" spans="3:6" x14ac:dyDescent="0.2">
      <c r="F319" s="70" t="s">
        <v>370</v>
      </c>
    </row>
    <row r="320" spans="3:6" x14ac:dyDescent="0.2">
      <c r="F320" s="70" t="s">
        <v>371</v>
      </c>
    </row>
    <row r="321" spans="3:6" x14ac:dyDescent="0.2">
      <c r="F321" s="70" t="s">
        <v>372</v>
      </c>
    </row>
    <row r="323" spans="3:6" x14ac:dyDescent="0.2">
      <c r="F323" s="70" t="s">
        <v>373</v>
      </c>
    </row>
    <row r="325" spans="3:6" x14ac:dyDescent="0.2">
      <c r="C325" s="70" t="s">
        <v>400</v>
      </c>
      <c r="F325" s="70" t="str">
        <f>"Private Sub "&amp;C325&amp;"_Click()"</f>
        <v>Private Sub mic7_4_Click()</v>
      </c>
    </row>
    <row r="327" spans="3:6" x14ac:dyDescent="0.2">
      <c r="F327" s="70" t="str">
        <f>"    If Me."&amp;C325&amp;".Value = True Then"</f>
        <v xml:space="preserve">    If Me.mic7_4.Value = True Then</v>
      </c>
    </row>
    <row r="328" spans="3:6" x14ac:dyDescent="0.2">
      <c r="F328" s="70" t="s">
        <v>367</v>
      </c>
    </row>
    <row r="329" spans="3:6" x14ac:dyDescent="0.2">
      <c r="F329" s="70" t="s">
        <v>368</v>
      </c>
    </row>
    <row r="330" spans="3:6" x14ac:dyDescent="0.2">
      <c r="F330" s="70" t="s">
        <v>369</v>
      </c>
    </row>
    <row r="331" spans="3:6" x14ac:dyDescent="0.2">
      <c r="F331" s="70" t="s">
        <v>370</v>
      </c>
    </row>
    <row r="332" spans="3:6" x14ac:dyDescent="0.2">
      <c r="F332" s="70" t="s">
        <v>371</v>
      </c>
    </row>
    <row r="333" spans="3:6" x14ac:dyDescent="0.2">
      <c r="F333" s="70" t="s">
        <v>372</v>
      </c>
    </row>
    <row r="335" spans="3:6" x14ac:dyDescent="0.2">
      <c r="F335" s="70" t="s">
        <v>373</v>
      </c>
    </row>
    <row r="337" spans="3:6" x14ac:dyDescent="0.2">
      <c r="C337" s="70" t="s">
        <v>401</v>
      </c>
      <c r="F337" s="70" t="str">
        <f>"Private Sub "&amp;C337&amp;"_Click()"</f>
        <v>Private Sub mic8_1_Click()</v>
      </c>
    </row>
    <row r="339" spans="3:6" x14ac:dyDescent="0.2">
      <c r="F339" s="70" t="str">
        <f>"    If Me."&amp;C337&amp;".Value = True Then"</f>
        <v xml:space="preserve">    If Me.mic8_1.Value = True Then</v>
      </c>
    </row>
    <row r="340" spans="3:6" x14ac:dyDescent="0.2">
      <c r="F340" s="70" t="s">
        <v>367</v>
      </c>
    </row>
    <row r="341" spans="3:6" x14ac:dyDescent="0.2">
      <c r="F341" s="70" t="s">
        <v>368</v>
      </c>
    </row>
    <row r="342" spans="3:6" x14ac:dyDescent="0.2">
      <c r="F342" s="70" t="s">
        <v>369</v>
      </c>
    </row>
    <row r="343" spans="3:6" x14ac:dyDescent="0.2">
      <c r="F343" s="70" t="s">
        <v>370</v>
      </c>
    </row>
    <row r="344" spans="3:6" x14ac:dyDescent="0.2">
      <c r="F344" s="70" t="s">
        <v>371</v>
      </c>
    </row>
    <row r="345" spans="3:6" x14ac:dyDescent="0.2">
      <c r="F345" s="70" t="s">
        <v>372</v>
      </c>
    </row>
    <row r="347" spans="3:6" x14ac:dyDescent="0.2">
      <c r="F347" s="70" t="s">
        <v>373</v>
      </c>
    </row>
    <row r="349" spans="3:6" x14ac:dyDescent="0.2">
      <c r="C349" s="70" t="s">
        <v>402</v>
      </c>
      <c r="F349" s="70" t="str">
        <f>"Private Sub "&amp;C349&amp;"_Click()"</f>
        <v>Private Sub mic8_2_Click()</v>
      </c>
    </row>
    <row r="351" spans="3:6" x14ac:dyDescent="0.2">
      <c r="F351" s="70" t="str">
        <f>"    If Me."&amp;C349&amp;".Value = True Then"</f>
        <v xml:space="preserve">    If Me.mic8_2.Value = True Then</v>
      </c>
    </row>
    <row r="352" spans="3:6" x14ac:dyDescent="0.2">
      <c r="F352" s="70" t="s">
        <v>367</v>
      </c>
    </row>
    <row r="353" spans="3:6" x14ac:dyDescent="0.2">
      <c r="F353" s="70" t="s">
        <v>368</v>
      </c>
    </row>
    <row r="354" spans="3:6" x14ac:dyDescent="0.2">
      <c r="F354" s="70" t="s">
        <v>369</v>
      </c>
    </row>
    <row r="355" spans="3:6" x14ac:dyDescent="0.2">
      <c r="F355" s="70" t="s">
        <v>370</v>
      </c>
    </row>
    <row r="356" spans="3:6" x14ac:dyDescent="0.2">
      <c r="F356" s="70" t="s">
        <v>371</v>
      </c>
    </row>
    <row r="357" spans="3:6" x14ac:dyDescent="0.2">
      <c r="F357" s="70" t="s">
        <v>372</v>
      </c>
    </row>
    <row r="359" spans="3:6" x14ac:dyDescent="0.2">
      <c r="F359" s="70" t="s">
        <v>373</v>
      </c>
    </row>
    <row r="361" spans="3:6" x14ac:dyDescent="0.2">
      <c r="C361" s="70" t="s">
        <v>403</v>
      </c>
      <c r="F361" s="70" t="str">
        <f>"Private Sub "&amp;C361&amp;"_Click()"</f>
        <v>Private Sub mic8_3_Click()</v>
      </c>
    </row>
    <row r="363" spans="3:6" x14ac:dyDescent="0.2">
      <c r="F363" s="70" t="str">
        <f>"    If Me."&amp;C361&amp;".Value = True Then"</f>
        <v xml:space="preserve">    If Me.mic8_3.Value = True Then</v>
      </c>
    </row>
    <row r="364" spans="3:6" x14ac:dyDescent="0.2">
      <c r="F364" s="70" t="s">
        <v>367</v>
      </c>
    </row>
    <row r="365" spans="3:6" x14ac:dyDescent="0.2">
      <c r="F365" s="70" t="s">
        <v>368</v>
      </c>
    </row>
    <row r="366" spans="3:6" x14ac:dyDescent="0.2">
      <c r="F366" s="70" t="s">
        <v>369</v>
      </c>
    </row>
    <row r="367" spans="3:6" x14ac:dyDescent="0.2">
      <c r="F367" s="70" t="s">
        <v>370</v>
      </c>
    </row>
    <row r="368" spans="3:6" x14ac:dyDescent="0.2">
      <c r="F368" s="70" t="s">
        <v>371</v>
      </c>
    </row>
    <row r="369" spans="3:6" x14ac:dyDescent="0.2">
      <c r="F369" s="70" t="s">
        <v>372</v>
      </c>
    </row>
    <row r="371" spans="3:6" x14ac:dyDescent="0.2">
      <c r="F371" s="70" t="s">
        <v>373</v>
      </c>
    </row>
    <row r="373" spans="3:6" x14ac:dyDescent="0.2">
      <c r="C373" s="70" t="s">
        <v>404</v>
      </c>
      <c r="F373" s="70" t="str">
        <f>"Private Sub "&amp;C373&amp;"_Click()"</f>
        <v>Private Sub mic8_4_Click()</v>
      </c>
    </row>
    <row r="375" spans="3:6" x14ac:dyDescent="0.2">
      <c r="F375" s="70" t="str">
        <f>"    If Me."&amp;C373&amp;".Value = True Then"</f>
        <v xml:space="preserve">    If Me.mic8_4.Value = True Then</v>
      </c>
    </row>
    <row r="376" spans="3:6" x14ac:dyDescent="0.2">
      <c r="F376" s="70" t="s">
        <v>367</v>
      </c>
    </row>
    <row r="377" spans="3:6" x14ac:dyDescent="0.2">
      <c r="F377" s="70" t="s">
        <v>368</v>
      </c>
    </row>
    <row r="378" spans="3:6" x14ac:dyDescent="0.2">
      <c r="F378" s="70" t="s">
        <v>369</v>
      </c>
    </row>
    <row r="379" spans="3:6" x14ac:dyDescent="0.2">
      <c r="F379" s="70" t="s">
        <v>370</v>
      </c>
    </row>
    <row r="380" spans="3:6" x14ac:dyDescent="0.2">
      <c r="F380" s="70" t="s">
        <v>371</v>
      </c>
    </row>
    <row r="381" spans="3:6" x14ac:dyDescent="0.2">
      <c r="F381" s="70" t="s">
        <v>372</v>
      </c>
    </row>
    <row r="383" spans="3:6" x14ac:dyDescent="0.2">
      <c r="F383" s="70" t="s">
        <v>373</v>
      </c>
    </row>
    <row r="385" spans="3:6" x14ac:dyDescent="0.2">
      <c r="C385" s="70" t="s">
        <v>405</v>
      </c>
      <c r="F385" s="70" t="str">
        <f>"Private Sub "&amp;C385&amp;"_Click()"</f>
        <v>Private Sub mic9_1_Click()</v>
      </c>
    </row>
    <row r="387" spans="3:6" x14ac:dyDescent="0.2">
      <c r="F387" s="70" t="str">
        <f>"    If Me."&amp;C385&amp;".Value = True Then"</f>
        <v xml:space="preserve">    If Me.mic9_1.Value = True Then</v>
      </c>
    </row>
    <row r="388" spans="3:6" x14ac:dyDescent="0.2">
      <c r="F388" s="70" t="s">
        <v>367</v>
      </c>
    </row>
    <row r="389" spans="3:6" x14ac:dyDescent="0.2">
      <c r="F389" s="70" t="s">
        <v>368</v>
      </c>
    </row>
    <row r="390" spans="3:6" x14ac:dyDescent="0.2">
      <c r="F390" s="70" t="s">
        <v>369</v>
      </c>
    </row>
    <row r="391" spans="3:6" x14ac:dyDescent="0.2">
      <c r="F391" s="70" t="s">
        <v>370</v>
      </c>
    </row>
    <row r="392" spans="3:6" x14ac:dyDescent="0.2">
      <c r="F392" s="70" t="s">
        <v>371</v>
      </c>
    </row>
    <row r="393" spans="3:6" x14ac:dyDescent="0.2">
      <c r="F393" s="70" t="s">
        <v>372</v>
      </c>
    </row>
    <row r="395" spans="3:6" x14ac:dyDescent="0.2">
      <c r="F395" s="70" t="s">
        <v>373</v>
      </c>
    </row>
    <row r="397" spans="3:6" x14ac:dyDescent="0.2">
      <c r="C397" s="70" t="s">
        <v>406</v>
      </c>
      <c r="F397" s="70" t="str">
        <f>"Private Sub "&amp;C397&amp;"_Click()"</f>
        <v>Private Sub mic9_2_Click()</v>
      </c>
    </row>
    <row r="399" spans="3:6" x14ac:dyDescent="0.2">
      <c r="F399" s="70" t="str">
        <f>"    If Me."&amp;C397&amp;".Value = True Then"</f>
        <v xml:space="preserve">    If Me.mic9_2.Value = True Then</v>
      </c>
    </row>
    <row r="400" spans="3:6" x14ac:dyDescent="0.2">
      <c r="F400" s="70" t="s">
        <v>367</v>
      </c>
    </row>
    <row r="401" spans="3:6" x14ac:dyDescent="0.2">
      <c r="F401" s="70" t="s">
        <v>368</v>
      </c>
    </row>
    <row r="402" spans="3:6" x14ac:dyDescent="0.2">
      <c r="F402" s="70" t="s">
        <v>369</v>
      </c>
    </row>
    <row r="403" spans="3:6" x14ac:dyDescent="0.2">
      <c r="F403" s="70" t="s">
        <v>370</v>
      </c>
    </row>
    <row r="404" spans="3:6" x14ac:dyDescent="0.2">
      <c r="F404" s="70" t="s">
        <v>371</v>
      </c>
    </row>
    <row r="405" spans="3:6" x14ac:dyDescent="0.2">
      <c r="F405" s="70" t="s">
        <v>372</v>
      </c>
    </row>
    <row r="407" spans="3:6" x14ac:dyDescent="0.2">
      <c r="F407" s="70" t="s">
        <v>373</v>
      </c>
    </row>
    <row r="409" spans="3:6" x14ac:dyDescent="0.2">
      <c r="C409" s="70" t="s">
        <v>407</v>
      </c>
      <c r="F409" s="70" t="str">
        <f>"Private Sub "&amp;C409&amp;"_Click()"</f>
        <v>Private Sub mic9_3_Click()</v>
      </c>
    </row>
    <row r="411" spans="3:6" x14ac:dyDescent="0.2">
      <c r="F411" s="70" t="str">
        <f>"    If Me."&amp;C409&amp;".Value = True Then"</f>
        <v xml:space="preserve">    If Me.mic9_3.Value = True Then</v>
      </c>
    </row>
    <row r="412" spans="3:6" x14ac:dyDescent="0.2">
      <c r="F412" s="70" t="s">
        <v>367</v>
      </c>
    </row>
    <row r="413" spans="3:6" x14ac:dyDescent="0.2">
      <c r="F413" s="70" t="s">
        <v>368</v>
      </c>
    </row>
    <row r="414" spans="3:6" x14ac:dyDescent="0.2">
      <c r="F414" s="70" t="s">
        <v>369</v>
      </c>
    </row>
    <row r="415" spans="3:6" x14ac:dyDescent="0.2">
      <c r="F415" s="70" t="s">
        <v>370</v>
      </c>
    </row>
    <row r="416" spans="3:6" x14ac:dyDescent="0.2">
      <c r="F416" s="70" t="s">
        <v>371</v>
      </c>
    </row>
    <row r="417" spans="3:6" x14ac:dyDescent="0.2">
      <c r="F417" s="70" t="s">
        <v>372</v>
      </c>
    </row>
    <row r="419" spans="3:6" x14ac:dyDescent="0.2">
      <c r="F419" s="70" t="s">
        <v>373</v>
      </c>
    </row>
    <row r="421" spans="3:6" x14ac:dyDescent="0.2">
      <c r="C421" s="70" t="s">
        <v>408</v>
      </c>
      <c r="F421" s="70" t="str">
        <f>"Private Sub "&amp;C421&amp;"_Click()"</f>
        <v>Private Sub mic9_4_Click()</v>
      </c>
    </row>
    <row r="423" spans="3:6" x14ac:dyDescent="0.2">
      <c r="F423" s="70" t="str">
        <f>"    If Me."&amp;C421&amp;".Value = True Then"</f>
        <v xml:space="preserve">    If Me.mic9_4.Value = True Then</v>
      </c>
    </row>
    <row r="424" spans="3:6" x14ac:dyDescent="0.2">
      <c r="F424" s="70" t="s">
        <v>367</v>
      </c>
    </row>
    <row r="425" spans="3:6" x14ac:dyDescent="0.2">
      <c r="F425" s="70" t="s">
        <v>368</v>
      </c>
    </row>
    <row r="426" spans="3:6" x14ac:dyDescent="0.2">
      <c r="F426" s="70" t="s">
        <v>369</v>
      </c>
    </row>
    <row r="427" spans="3:6" x14ac:dyDescent="0.2">
      <c r="F427" s="70" t="s">
        <v>370</v>
      </c>
    </row>
    <row r="428" spans="3:6" x14ac:dyDescent="0.2">
      <c r="F428" s="70" t="s">
        <v>371</v>
      </c>
    </row>
    <row r="429" spans="3:6" x14ac:dyDescent="0.2">
      <c r="F429" s="70" t="s">
        <v>372</v>
      </c>
    </row>
    <row r="431" spans="3:6" x14ac:dyDescent="0.2">
      <c r="F431" s="70" t="s">
        <v>373</v>
      </c>
    </row>
    <row r="433" spans="3:6" x14ac:dyDescent="0.2">
      <c r="C433" s="70" t="s">
        <v>409</v>
      </c>
      <c r="F433" s="70" t="str">
        <f>"Private Sub "&amp;C433&amp;"_Click()"</f>
        <v>Private Sub mic10_1_Click()</v>
      </c>
    </row>
    <row r="435" spans="3:6" x14ac:dyDescent="0.2">
      <c r="F435" s="70" t="str">
        <f>"    If Me."&amp;C433&amp;".Value = True Then"</f>
        <v xml:space="preserve">    If Me.mic10_1.Value = True Then</v>
      </c>
    </row>
    <row r="436" spans="3:6" x14ac:dyDescent="0.2">
      <c r="F436" s="70" t="s">
        <v>367</v>
      </c>
    </row>
    <row r="437" spans="3:6" x14ac:dyDescent="0.2">
      <c r="F437" s="70" t="s">
        <v>368</v>
      </c>
    </row>
    <row r="438" spans="3:6" x14ac:dyDescent="0.2">
      <c r="F438" s="70" t="s">
        <v>369</v>
      </c>
    </row>
    <row r="439" spans="3:6" x14ac:dyDescent="0.2">
      <c r="F439" s="70" t="s">
        <v>370</v>
      </c>
    </row>
    <row r="440" spans="3:6" x14ac:dyDescent="0.2">
      <c r="F440" s="70" t="s">
        <v>371</v>
      </c>
    </row>
    <row r="441" spans="3:6" x14ac:dyDescent="0.2">
      <c r="F441" s="70" t="s">
        <v>372</v>
      </c>
    </row>
    <row r="443" spans="3:6" x14ac:dyDescent="0.2">
      <c r="F443" s="70" t="s">
        <v>373</v>
      </c>
    </row>
    <row r="445" spans="3:6" x14ac:dyDescent="0.2">
      <c r="C445" s="70" t="s">
        <v>410</v>
      </c>
      <c r="F445" s="70" t="str">
        <f>"Private Sub "&amp;C445&amp;"_Click()"</f>
        <v>Private Sub mic10_2_Click()</v>
      </c>
    </row>
    <row r="447" spans="3:6" x14ac:dyDescent="0.2">
      <c r="F447" s="70" t="str">
        <f>"    If Me."&amp;C445&amp;".Value = True Then"</f>
        <v xml:space="preserve">    If Me.mic10_2.Value = True Then</v>
      </c>
    </row>
    <row r="448" spans="3:6" x14ac:dyDescent="0.2">
      <c r="F448" s="70" t="s">
        <v>367</v>
      </c>
    </row>
    <row r="449" spans="3:6" x14ac:dyDescent="0.2">
      <c r="F449" s="70" t="s">
        <v>368</v>
      </c>
    </row>
    <row r="450" spans="3:6" x14ac:dyDescent="0.2">
      <c r="F450" s="70" t="s">
        <v>369</v>
      </c>
    </row>
    <row r="451" spans="3:6" x14ac:dyDescent="0.2">
      <c r="F451" s="70" t="s">
        <v>370</v>
      </c>
    </row>
    <row r="452" spans="3:6" x14ac:dyDescent="0.2">
      <c r="F452" s="70" t="s">
        <v>371</v>
      </c>
    </row>
    <row r="453" spans="3:6" x14ac:dyDescent="0.2">
      <c r="F453" s="70" t="s">
        <v>372</v>
      </c>
    </row>
    <row r="455" spans="3:6" x14ac:dyDescent="0.2">
      <c r="F455" s="70" t="s">
        <v>373</v>
      </c>
    </row>
    <row r="457" spans="3:6" x14ac:dyDescent="0.2">
      <c r="C457" s="70" t="s">
        <v>411</v>
      </c>
      <c r="F457" s="70" t="str">
        <f>"Private Sub "&amp;C457&amp;"_Click()"</f>
        <v>Private Sub mic10_3_Click()</v>
      </c>
    </row>
    <row r="459" spans="3:6" x14ac:dyDescent="0.2">
      <c r="F459" s="70" t="str">
        <f>"    If Me."&amp;C457&amp;".Value = True Then"</f>
        <v xml:space="preserve">    If Me.mic10_3.Value = True Then</v>
      </c>
    </row>
    <row r="460" spans="3:6" x14ac:dyDescent="0.2">
      <c r="F460" s="70" t="s">
        <v>367</v>
      </c>
    </row>
    <row r="461" spans="3:6" x14ac:dyDescent="0.2">
      <c r="F461" s="70" t="s">
        <v>368</v>
      </c>
    </row>
    <row r="462" spans="3:6" x14ac:dyDescent="0.2">
      <c r="F462" s="70" t="s">
        <v>369</v>
      </c>
    </row>
    <row r="463" spans="3:6" x14ac:dyDescent="0.2">
      <c r="F463" s="70" t="s">
        <v>370</v>
      </c>
    </row>
    <row r="464" spans="3:6" x14ac:dyDescent="0.2">
      <c r="F464" s="70" t="s">
        <v>371</v>
      </c>
    </row>
    <row r="465" spans="3:6" x14ac:dyDescent="0.2">
      <c r="F465" s="70" t="s">
        <v>372</v>
      </c>
    </row>
    <row r="467" spans="3:6" x14ac:dyDescent="0.2">
      <c r="F467" s="70" t="s">
        <v>373</v>
      </c>
    </row>
    <row r="469" spans="3:6" x14ac:dyDescent="0.2">
      <c r="C469" s="70" t="s">
        <v>412</v>
      </c>
      <c r="F469" s="70" t="str">
        <f>"Private Sub "&amp;C469&amp;"_Click()"</f>
        <v>Private Sub mic10_4_Click()</v>
      </c>
    </row>
    <row r="471" spans="3:6" x14ac:dyDescent="0.2">
      <c r="F471" s="70" t="str">
        <f>"    If Me."&amp;C469&amp;".Value = True Then"</f>
        <v xml:space="preserve">    If Me.mic10_4.Value = True Then</v>
      </c>
    </row>
    <row r="472" spans="3:6" x14ac:dyDescent="0.2">
      <c r="F472" s="70" t="s">
        <v>367</v>
      </c>
    </row>
    <row r="473" spans="3:6" x14ac:dyDescent="0.2">
      <c r="F473" s="70" t="s">
        <v>368</v>
      </c>
    </row>
    <row r="474" spans="3:6" x14ac:dyDescent="0.2">
      <c r="F474" s="70" t="s">
        <v>369</v>
      </c>
    </row>
    <row r="475" spans="3:6" x14ac:dyDescent="0.2">
      <c r="F475" s="70" t="s">
        <v>370</v>
      </c>
    </row>
    <row r="476" spans="3:6" x14ac:dyDescent="0.2">
      <c r="F476" s="70" t="s">
        <v>371</v>
      </c>
    </row>
    <row r="477" spans="3:6" x14ac:dyDescent="0.2">
      <c r="F477" s="70" t="s">
        <v>372</v>
      </c>
    </row>
    <row r="479" spans="3:6" x14ac:dyDescent="0.2">
      <c r="F479" s="70" t="s">
        <v>373</v>
      </c>
    </row>
    <row r="481" spans="6:6" x14ac:dyDescent="0.2">
      <c r="F481" s="70" t="str">
        <f>"Private Sub "&amp;C481&amp;"_Click()"</f>
        <v>Private Sub _Click()</v>
      </c>
    </row>
    <row r="483" spans="6:6" x14ac:dyDescent="0.2">
      <c r="F483" s="70" t="str">
        <f>"    If Me."&amp;C481&amp;".Value = True Then"</f>
        <v xml:space="preserve">    If Me..Value = True Then</v>
      </c>
    </row>
    <row r="484" spans="6:6" x14ac:dyDescent="0.2">
      <c r="F484" s="70" t="s">
        <v>367</v>
      </c>
    </row>
    <row r="485" spans="6:6" x14ac:dyDescent="0.2">
      <c r="F485" s="70" t="s">
        <v>368</v>
      </c>
    </row>
    <row r="486" spans="6:6" x14ac:dyDescent="0.2">
      <c r="F486" s="70" t="s">
        <v>369</v>
      </c>
    </row>
    <row r="487" spans="6:6" x14ac:dyDescent="0.2">
      <c r="F487" s="70" t="s">
        <v>370</v>
      </c>
    </row>
    <row r="488" spans="6:6" x14ac:dyDescent="0.2">
      <c r="F488" s="70" t="s">
        <v>371</v>
      </c>
    </row>
    <row r="489" spans="6:6" x14ac:dyDescent="0.2">
      <c r="F489" s="70" t="s">
        <v>372</v>
      </c>
    </row>
    <row r="491" spans="6:6" x14ac:dyDescent="0.2">
      <c r="F491" s="70" t="s">
        <v>373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G32"/>
  <sheetViews>
    <sheetView topLeftCell="T1" workbookViewId="0">
      <selection activeCell="AC4" sqref="AC4"/>
    </sheetView>
  </sheetViews>
  <sheetFormatPr defaultRowHeight="15" x14ac:dyDescent="0.2"/>
  <cols>
    <col min="1" max="1" width="13.21875" style="33" bestFit="1" customWidth="1"/>
    <col min="2" max="2" width="1.44140625" bestFit="1" customWidth="1"/>
    <col min="3" max="3" width="85.109375" bestFit="1" customWidth="1"/>
    <col min="4" max="4" width="3" bestFit="1" customWidth="1"/>
    <col min="5" max="5" width="19.77734375" style="33" bestFit="1" customWidth="1"/>
    <col min="6" max="6" width="1.44140625" bestFit="1" customWidth="1"/>
    <col min="7" max="7" width="21.88671875" style="33" bestFit="1" customWidth="1"/>
    <col min="8" max="8" width="1.44140625" bestFit="1" customWidth="1"/>
    <col min="9" max="9" width="20.6640625" style="33" bestFit="1" customWidth="1"/>
    <col min="10" max="10" width="1.44140625" bestFit="1" customWidth="1"/>
    <col min="11" max="11" width="13.88671875" bestFit="1" customWidth="1"/>
    <col min="12" max="12" width="1.44140625" bestFit="1" customWidth="1"/>
    <col min="13" max="13" width="11.109375" bestFit="1" customWidth="1"/>
    <col min="14" max="14" width="1.44140625" bestFit="1" customWidth="1"/>
    <col min="15" max="15" width="12.21875" bestFit="1" customWidth="1"/>
    <col min="16" max="16" width="1.44140625" bestFit="1" customWidth="1"/>
    <col min="17" max="17" width="14.88671875" bestFit="1" customWidth="1"/>
    <col min="18" max="18" width="1.44140625" bestFit="1" customWidth="1"/>
    <col min="19" max="19" width="13.109375" bestFit="1" customWidth="1"/>
    <col min="20" max="20" width="1.44140625" bestFit="1" customWidth="1"/>
    <col min="21" max="21" width="13.21875" bestFit="1" customWidth="1"/>
    <col min="22" max="22" width="1.44140625" bestFit="1" customWidth="1"/>
    <col min="23" max="23" width="14.77734375" bestFit="1" customWidth="1"/>
    <col min="24" max="24" width="1.44140625" bestFit="1" customWidth="1"/>
    <col min="25" max="25" width="14.77734375" bestFit="1" customWidth="1"/>
    <col min="26" max="26" width="1.44140625" bestFit="1" customWidth="1"/>
    <col min="27" max="27" width="16.77734375" bestFit="1" customWidth="1"/>
    <col min="28" max="28" width="1.44140625" bestFit="1" customWidth="1"/>
    <col min="29" max="29" width="34.21875" bestFit="1" customWidth="1"/>
    <col min="30" max="30" width="8.5546875" bestFit="1" customWidth="1"/>
    <col min="31" max="31" width="1.44140625" bestFit="1" customWidth="1"/>
    <col min="32" max="32" width="34.21875" bestFit="1" customWidth="1"/>
    <col min="33" max="33" width="1.44140625" bestFit="1" customWidth="1"/>
  </cols>
  <sheetData>
    <row r="1" spans="1:33" x14ac:dyDescent="0.2">
      <c r="A1" s="74" t="s">
        <v>215</v>
      </c>
      <c r="B1" s="33" t="s">
        <v>216</v>
      </c>
      <c r="C1" s="74" t="s">
        <v>217</v>
      </c>
      <c r="D1" s="33" t="s">
        <v>216</v>
      </c>
      <c r="E1" s="74" t="s">
        <v>218</v>
      </c>
      <c r="F1" s="33" t="s">
        <v>216</v>
      </c>
      <c r="G1" s="74" t="s">
        <v>219</v>
      </c>
      <c r="H1" s="33" t="s">
        <v>216</v>
      </c>
      <c r="I1" s="74" t="s">
        <v>220</v>
      </c>
      <c r="J1" s="33" t="s">
        <v>216</v>
      </c>
      <c r="K1" s="74" t="s">
        <v>221</v>
      </c>
      <c r="L1" s="33" t="s">
        <v>216</v>
      </c>
      <c r="M1" s="74" t="s">
        <v>222</v>
      </c>
      <c r="N1" s="33" t="s">
        <v>216</v>
      </c>
      <c r="O1" s="74" t="s">
        <v>223</v>
      </c>
      <c r="P1" s="33" t="s">
        <v>216</v>
      </c>
      <c r="Q1" s="74" t="s">
        <v>224</v>
      </c>
      <c r="R1" s="33" t="s">
        <v>216</v>
      </c>
      <c r="S1" s="74" t="s">
        <v>225</v>
      </c>
      <c r="T1" s="33" t="s">
        <v>216</v>
      </c>
      <c r="U1" s="74" t="s">
        <v>226</v>
      </c>
      <c r="V1" s="33" t="s">
        <v>216</v>
      </c>
      <c r="W1" s="74" t="s">
        <v>227</v>
      </c>
      <c r="X1" s="33" t="s">
        <v>216</v>
      </c>
      <c r="Y1" s="74" t="s">
        <v>228</v>
      </c>
      <c r="Z1" s="33" t="s">
        <v>216</v>
      </c>
      <c r="AA1" s="74" t="s">
        <v>229</v>
      </c>
      <c r="AB1" s="33" t="s">
        <v>216</v>
      </c>
      <c r="AC1" s="74" t="s">
        <v>230</v>
      </c>
      <c r="AD1" s="74" t="s">
        <v>231</v>
      </c>
      <c r="AE1" s="33" t="s">
        <v>216</v>
      </c>
      <c r="AF1" s="74" t="s">
        <v>230</v>
      </c>
      <c r="AG1" s="33" t="s">
        <v>216</v>
      </c>
    </row>
    <row r="2" spans="1:33" x14ac:dyDescent="0.2">
      <c r="A2" s="36">
        <v>4</v>
      </c>
      <c r="B2" s="33"/>
      <c r="C2" t="s">
        <v>244</v>
      </c>
      <c r="D2" s="33"/>
      <c r="E2" s="36">
        <v>15</v>
      </c>
      <c r="F2" s="33"/>
      <c r="G2" s="36">
        <v>15</v>
      </c>
      <c r="H2" s="33"/>
      <c r="I2" s="36">
        <v>4</v>
      </c>
      <c r="J2" s="33"/>
      <c r="K2" s="36" t="s">
        <v>38</v>
      </c>
      <c r="L2" s="33"/>
      <c r="M2" s="36" t="s">
        <v>38</v>
      </c>
      <c r="N2" s="33"/>
      <c r="O2" s="36">
        <v>1</v>
      </c>
      <c r="P2" s="33"/>
      <c r="Q2" s="36">
        <v>0</v>
      </c>
      <c r="R2" s="33"/>
      <c r="S2" s="36">
        <v>1</v>
      </c>
      <c r="T2" s="33"/>
      <c r="U2" s="36" t="s">
        <v>194</v>
      </c>
      <c r="V2" s="33"/>
      <c r="W2" s="36" t="s">
        <v>232</v>
      </c>
      <c r="X2" s="33"/>
      <c r="Y2" s="36" t="s">
        <v>46</v>
      </c>
      <c r="Z2" s="33"/>
      <c r="AA2" s="36" t="s">
        <v>46</v>
      </c>
      <c r="AB2" s="33"/>
      <c r="AC2" s="36" t="s">
        <v>233</v>
      </c>
      <c r="AD2" s="36">
        <v>1</v>
      </c>
      <c r="AF2" s="36" t="s">
        <v>233</v>
      </c>
    </row>
    <row r="3" spans="1:33" x14ac:dyDescent="0.2">
      <c r="A3" s="36">
        <v>6</v>
      </c>
      <c r="B3" s="33"/>
      <c r="C3" t="s">
        <v>245</v>
      </c>
      <c r="D3" s="33"/>
      <c r="E3" s="36">
        <v>16</v>
      </c>
      <c r="F3" s="33"/>
      <c r="G3" s="36">
        <v>16</v>
      </c>
      <c r="H3" s="33"/>
      <c r="I3" s="36">
        <v>6</v>
      </c>
      <c r="J3" s="33"/>
      <c r="K3" s="36" t="s">
        <v>39</v>
      </c>
      <c r="L3" s="33"/>
      <c r="M3" s="36" t="s">
        <v>39</v>
      </c>
      <c r="N3" s="33"/>
      <c r="O3" s="36">
        <v>0</v>
      </c>
      <c r="P3" s="33"/>
      <c r="Q3" s="36">
        <v>1</v>
      </c>
      <c r="R3" s="33"/>
      <c r="S3" s="36">
        <v>2</v>
      </c>
      <c r="T3" s="33"/>
      <c r="U3" s="36" t="s">
        <v>208</v>
      </c>
      <c r="V3" s="33"/>
      <c r="W3" s="36" t="s">
        <v>161</v>
      </c>
      <c r="X3" s="33"/>
      <c r="Y3" s="36" t="s">
        <v>47</v>
      </c>
      <c r="Z3" s="33"/>
      <c r="AA3" s="36" t="s">
        <v>47</v>
      </c>
      <c r="AB3" s="33"/>
      <c r="AC3" s="36" t="s">
        <v>179</v>
      </c>
      <c r="AD3" s="36">
        <v>1</v>
      </c>
      <c r="AF3" s="36" t="s">
        <v>179</v>
      </c>
    </row>
    <row r="4" spans="1:33" x14ac:dyDescent="0.2">
      <c r="A4" s="36">
        <v>10</v>
      </c>
      <c r="B4" s="33"/>
      <c r="C4" t="s">
        <v>246</v>
      </c>
      <c r="D4" s="33"/>
      <c r="E4" s="36">
        <v>20</v>
      </c>
      <c r="F4" s="33"/>
      <c r="G4" s="36">
        <v>20</v>
      </c>
      <c r="H4" s="33"/>
      <c r="I4" s="36">
        <v>10</v>
      </c>
      <c r="J4" s="33"/>
      <c r="K4" s="36" t="s">
        <v>40</v>
      </c>
      <c r="L4" s="33"/>
      <c r="M4" s="36" t="s">
        <v>40</v>
      </c>
      <c r="N4" s="33"/>
      <c r="O4" s="36"/>
      <c r="P4" s="33"/>
      <c r="Q4" s="36"/>
      <c r="R4" s="33"/>
      <c r="S4" s="36">
        <v>3</v>
      </c>
      <c r="T4" s="33"/>
      <c r="U4" s="36"/>
      <c r="V4" s="33"/>
      <c r="W4" s="36"/>
      <c r="X4" s="33"/>
      <c r="Y4" s="36"/>
      <c r="Z4" s="33"/>
      <c r="AA4" s="36"/>
      <c r="AB4" s="33"/>
      <c r="AC4" s="36" t="s">
        <v>444</v>
      </c>
      <c r="AD4" s="36">
        <v>1</v>
      </c>
    </row>
    <row r="5" spans="1:33" x14ac:dyDescent="0.2">
      <c r="A5" s="36">
        <v>16</v>
      </c>
      <c r="B5" s="33"/>
      <c r="C5" t="s">
        <v>247</v>
      </c>
      <c r="D5" s="33"/>
      <c r="E5" s="36">
        <v>25</v>
      </c>
      <c r="F5" s="33"/>
      <c r="G5" s="36">
        <v>25</v>
      </c>
      <c r="H5" s="33"/>
      <c r="I5" s="36">
        <v>16</v>
      </c>
      <c r="J5" s="33"/>
      <c r="K5" s="36"/>
      <c r="L5" s="33"/>
      <c r="M5" s="36"/>
      <c r="N5" s="33"/>
      <c r="O5" s="36"/>
      <c r="P5" s="33"/>
      <c r="Q5" s="36"/>
      <c r="R5" s="33"/>
      <c r="S5" s="36">
        <v>4</v>
      </c>
      <c r="T5" s="33"/>
      <c r="U5" s="36"/>
      <c r="V5" s="33"/>
      <c r="W5" s="36"/>
      <c r="X5" s="33"/>
      <c r="Y5" s="36"/>
      <c r="Z5" s="33"/>
      <c r="AA5" s="36"/>
      <c r="AB5" s="33"/>
      <c r="AC5" s="36" t="s">
        <v>234</v>
      </c>
      <c r="AD5" s="36">
        <v>1</v>
      </c>
    </row>
    <row r="6" spans="1:33" x14ac:dyDescent="0.2">
      <c r="A6" s="36">
        <v>25</v>
      </c>
      <c r="B6" s="33"/>
      <c r="C6" t="s">
        <v>248</v>
      </c>
      <c r="D6" s="33"/>
      <c r="E6" s="36">
        <v>32</v>
      </c>
      <c r="F6" s="33"/>
      <c r="G6" s="36">
        <v>32</v>
      </c>
      <c r="H6" s="33"/>
      <c r="I6" s="36">
        <v>25</v>
      </c>
      <c r="J6" s="33"/>
      <c r="K6" s="36"/>
      <c r="L6" s="33"/>
      <c r="M6" s="36"/>
      <c r="N6" s="33"/>
      <c r="O6" s="36"/>
      <c r="P6" s="33"/>
      <c r="Q6" s="36"/>
      <c r="R6" s="33"/>
      <c r="S6" s="36"/>
      <c r="T6" s="33"/>
      <c r="U6" s="36"/>
      <c r="V6" s="33"/>
      <c r="W6" s="36"/>
      <c r="X6" s="33"/>
      <c r="Y6" s="36"/>
      <c r="Z6" s="33"/>
      <c r="AA6" s="36"/>
      <c r="AB6" s="33"/>
      <c r="AC6" s="36" t="s">
        <v>235</v>
      </c>
      <c r="AD6" s="36">
        <v>1</v>
      </c>
    </row>
    <row r="7" spans="1:33" x14ac:dyDescent="0.2">
      <c r="A7" s="36">
        <v>35</v>
      </c>
      <c r="B7" s="33"/>
      <c r="C7" t="s">
        <v>249</v>
      </c>
      <c r="D7" s="33"/>
      <c r="E7" s="36">
        <v>40</v>
      </c>
      <c r="F7" s="33"/>
      <c r="G7" s="36">
        <v>40</v>
      </c>
      <c r="H7" s="33"/>
      <c r="I7" s="36">
        <v>35</v>
      </c>
      <c r="J7" s="33"/>
      <c r="K7" s="36"/>
      <c r="L7" s="33"/>
      <c r="M7" s="36"/>
      <c r="N7" s="33"/>
      <c r="O7" s="36"/>
      <c r="P7" s="33"/>
      <c r="Q7" s="36"/>
      <c r="R7" s="33"/>
      <c r="S7" s="36"/>
      <c r="T7" s="33"/>
      <c r="U7" s="36"/>
      <c r="V7" s="33"/>
      <c r="W7" s="36"/>
      <c r="X7" s="33"/>
      <c r="Y7" s="36"/>
      <c r="Z7" s="33"/>
      <c r="AA7" s="36"/>
      <c r="AB7" s="33"/>
      <c r="AC7" s="36" t="s">
        <v>233</v>
      </c>
      <c r="AD7" s="36">
        <v>1</v>
      </c>
    </row>
    <row r="8" spans="1:33" x14ac:dyDescent="0.2">
      <c r="A8" s="33">
        <v>50</v>
      </c>
      <c r="C8" t="s">
        <v>250</v>
      </c>
      <c r="D8" s="33"/>
      <c r="E8" s="33">
        <v>50</v>
      </c>
      <c r="G8" s="33">
        <v>50</v>
      </c>
      <c r="I8" s="33">
        <v>50</v>
      </c>
      <c r="AC8" t="s">
        <v>445</v>
      </c>
    </row>
    <row r="9" spans="1:33" x14ac:dyDescent="0.2">
      <c r="A9" s="33">
        <v>70</v>
      </c>
      <c r="C9" t="s">
        <v>251</v>
      </c>
      <c r="D9" s="33"/>
      <c r="E9" s="33">
        <v>60</v>
      </c>
      <c r="G9" s="33">
        <v>60</v>
      </c>
      <c r="I9" s="33">
        <v>70</v>
      </c>
    </row>
    <row r="10" spans="1:33" x14ac:dyDescent="0.2">
      <c r="A10" s="33">
        <v>95</v>
      </c>
      <c r="C10" t="s">
        <v>252</v>
      </c>
      <c r="D10" s="33"/>
      <c r="E10" s="33">
        <v>63</v>
      </c>
      <c r="G10" s="33">
        <v>63</v>
      </c>
      <c r="I10" s="33">
        <v>95</v>
      </c>
    </row>
    <row r="11" spans="1:33" x14ac:dyDescent="0.2">
      <c r="A11" s="33">
        <v>120</v>
      </c>
      <c r="C11" t="s">
        <v>253</v>
      </c>
      <c r="D11" s="33"/>
      <c r="E11" s="33">
        <v>70</v>
      </c>
      <c r="G11" s="33">
        <v>70</v>
      </c>
      <c r="I11" s="33">
        <v>120</v>
      </c>
    </row>
    <row r="12" spans="1:33" x14ac:dyDescent="0.2">
      <c r="A12" s="33">
        <v>150</v>
      </c>
      <c r="C12" t="s">
        <v>254</v>
      </c>
      <c r="D12" s="33"/>
      <c r="E12" s="33">
        <v>80</v>
      </c>
      <c r="G12" s="33">
        <v>80</v>
      </c>
      <c r="I12" s="33">
        <v>150</v>
      </c>
    </row>
    <row r="13" spans="1:33" x14ac:dyDescent="0.2">
      <c r="A13" s="33">
        <v>185</v>
      </c>
      <c r="C13" t="s">
        <v>255</v>
      </c>
      <c r="D13" s="33"/>
      <c r="E13" s="33">
        <v>90</v>
      </c>
      <c r="G13" s="33">
        <v>90</v>
      </c>
      <c r="I13" s="33">
        <v>185</v>
      </c>
    </row>
    <row r="14" spans="1:33" x14ac:dyDescent="0.2">
      <c r="A14" s="33">
        <v>240</v>
      </c>
      <c r="C14" t="s">
        <v>256</v>
      </c>
      <c r="D14" s="33"/>
      <c r="E14" s="33">
        <v>100</v>
      </c>
      <c r="G14" s="33">
        <v>100</v>
      </c>
      <c r="I14" s="33">
        <v>240</v>
      </c>
    </row>
    <row r="15" spans="1:33" x14ac:dyDescent="0.2">
      <c r="C15" t="s">
        <v>257</v>
      </c>
      <c r="D15" s="33"/>
      <c r="E15" s="33">
        <v>120</v>
      </c>
      <c r="G15" s="33">
        <v>120</v>
      </c>
    </row>
    <row r="16" spans="1:33" x14ac:dyDescent="0.2">
      <c r="C16" t="s">
        <v>258</v>
      </c>
      <c r="D16" s="33"/>
      <c r="E16" s="33">
        <v>125</v>
      </c>
      <c r="G16" s="33">
        <v>125</v>
      </c>
    </row>
    <row r="17" spans="3:7" x14ac:dyDescent="0.2">
      <c r="C17" t="s">
        <v>259</v>
      </c>
      <c r="D17" s="33"/>
      <c r="E17" s="33">
        <v>150</v>
      </c>
      <c r="G17" s="33">
        <v>150</v>
      </c>
    </row>
    <row r="18" spans="3:7" x14ac:dyDescent="0.2">
      <c r="C18" t="s">
        <v>260</v>
      </c>
      <c r="D18" s="33"/>
      <c r="E18" s="33">
        <v>175</v>
      </c>
      <c r="G18" s="33">
        <v>175</v>
      </c>
    </row>
    <row r="19" spans="3:7" x14ac:dyDescent="0.2">
      <c r="C19" t="s">
        <v>261</v>
      </c>
      <c r="D19" s="33"/>
      <c r="E19" s="33">
        <v>200</v>
      </c>
      <c r="G19" s="33">
        <v>200</v>
      </c>
    </row>
    <row r="20" spans="3:7" x14ac:dyDescent="0.2">
      <c r="C20" t="s">
        <v>262</v>
      </c>
      <c r="D20" s="33"/>
      <c r="E20" s="33">
        <v>160</v>
      </c>
      <c r="G20" s="33">
        <v>160</v>
      </c>
    </row>
    <row r="21" spans="3:7" x14ac:dyDescent="0.2">
      <c r="C21" t="s">
        <v>263</v>
      </c>
      <c r="D21" s="33"/>
    </row>
    <row r="22" spans="3:7" x14ac:dyDescent="0.2">
      <c r="C22" t="s">
        <v>264</v>
      </c>
      <c r="D22" s="33"/>
    </row>
    <row r="23" spans="3:7" x14ac:dyDescent="0.2">
      <c r="C23" t="s">
        <v>265</v>
      </c>
      <c r="D23" s="33"/>
    </row>
    <row r="24" spans="3:7" x14ac:dyDescent="0.2">
      <c r="C24" t="s">
        <v>266</v>
      </c>
      <c r="D24" s="33"/>
    </row>
    <row r="25" spans="3:7" x14ac:dyDescent="0.2">
      <c r="C25" t="s">
        <v>267</v>
      </c>
      <c r="D25" s="33"/>
    </row>
    <row r="26" spans="3:7" x14ac:dyDescent="0.2">
      <c r="C26" t="s">
        <v>268</v>
      </c>
      <c r="D26" s="33"/>
    </row>
    <row r="27" spans="3:7" x14ac:dyDescent="0.2">
      <c r="C27" t="s">
        <v>269</v>
      </c>
      <c r="D27" s="33"/>
    </row>
    <row r="28" spans="3:7" x14ac:dyDescent="0.2">
      <c r="C28" t="s">
        <v>270</v>
      </c>
      <c r="D28" s="33"/>
    </row>
    <row r="29" spans="3:7" x14ac:dyDescent="0.2">
      <c r="C29" t="s">
        <v>271</v>
      </c>
      <c r="D29" s="33"/>
    </row>
    <row r="30" spans="3:7" x14ac:dyDescent="0.2">
      <c r="C30" t="s">
        <v>272</v>
      </c>
      <c r="D30" s="33"/>
    </row>
    <row r="31" spans="3:7" x14ac:dyDescent="0.2">
      <c r="C31" t="s">
        <v>273</v>
      </c>
      <c r="D31" s="33"/>
    </row>
    <row r="32" spans="3:7" x14ac:dyDescent="0.2">
      <c r="C32" t="s">
        <v>274</v>
      </c>
      <c r="D32" s="33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R63"/>
  <sheetViews>
    <sheetView showGridLines="0" workbookViewId="0">
      <pane ySplit="1" topLeftCell="A46" activePane="bottomLeft" state="frozen"/>
      <selection pane="bottomLeft" activeCell="A63" sqref="A63"/>
    </sheetView>
  </sheetViews>
  <sheetFormatPr defaultRowHeight="15" x14ac:dyDescent="0.2"/>
  <cols>
    <col min="1" max="1" width="9.33203125" bestFit="1" customWidth="1"/>
    <col min="2" max="2" width="31.88671875" bestFit="1" customWidth="1"/>
    <col min="3" max="3" width="35.109375" bestFit="1" customWidth="1"/>
    <col min="4" max="4" width="22.33203125" customWidth="1"/>
    <col min="5" max="5" width="31.33203125" bestFit="1" customWidth="1"/>
    <col min="6" max="6" width="48.6640625" bestFit="1" customWidth="1"/>
    <col min="7" max="7" width="43.5546875" bestFit="1" customWidth="1"/>
    <col min="9" max="9" width="43" bestFit="1" customWidth="1"/>
    <col min="10" max="10" width="54.77734375" bestFit="1" customWidth="1"/>
    <col min="11" max="11" width="40.77734375" bestFit="1" customWidth="1"/>
    <col min="12" max="12" width="18.44140625" customWidth="1"/>
    <col min="13" max="13" width="38.5546875" bestFit="1" customWidth="1"/>
    <col min="14" max="14" width="34" bestFit="1" customWidth="1"/>
    <col min="15" max="15" width="38.44140625" bestFit="1" customWidth="1"/>
    <col min="16" max="16" width="42.6640625" customWidth="1"/>
    <col min="17" max="17" width="12.77734375" bestFit="1" customWidth="1"/>
  </cols>
  <sheetData>
    <row r="1" spans="1:18" x14ac:dyDescent="0.2">
      <c r="A1" s="68" t="s">
        <v>73</v>
      </c>
      <c r="B1" s="68" t="s">
        <v>74</v>
      </c>
      <c r="C1" s="66" t="s">
        <v>77</v>
      </c>
      <c r="D1" s="67" t="s">
        <v>78</v>
      </c>
      <c r="E1" s="67" t="s">
        <v>115</v>
      </c>
      <c r="F1" s="67" t="s">
        <v>114</v>
      </c>
      <c r="G1" s="67" t="s">
        <v>155</v>
      </c>
      <c r="H1" s="67" t="s">
        <v>156</v>
      </c>
      <c r="I1" s="67" t="s">
        <v>158</v>
      </c>
      <c r="J1" s="67" t="s">
        <v>159</v>
      </c>
      <c r="K1" s="67" t="s">
        <v>160</v>
      </c>
      <c r="L1" s="67" t="s">
        <v>185</v>
      </c>
      <c r="M1" s="67" t="s">
        <v>164</v>
      </c>
      <c r="N1" s="67" t="s">
        <v>169</v>
      </c>
      <c r="O1" s="67" t="s">
        <v>170</v>
      </c>
      <c r="P1" s="67" t="s">
        <v>205</v>
      </c>
      <c r="Q1" s="67" t="s">
        <v>207</v>
      </c>
    </row>
    <row r="2" spans="1:18" x14ac:dyDescent="0.2">
      <c r="A2" s="82" t="s">
        <v>75</v>
      </c>
      <c r="B2" s="82" t="s">
        <v>116</v>
      </c>
      <c r="C2" s="82" t="str">
        <f>B2&amp;".text"</f>
        <v>frm_dados1.txtBairro.text</v>
      </c>
      <c r="D2" s="82" t="s">
        <v>18</v>
      </c>
      <c r="E2" s="82" t="str">
        <f>"Public "&amp;D2&amp;" as String"</f>
        <v>Public Bairro as String</v>
      </c>
      <c r="F2" s="82" t="str">
        <f>D2&amp;" = "&amp;C2</f>
        <v>Bairro = frm_dados1.txtBairro.text</v>
      </c>
      <c r="G2" s="82" t="str">
        <f t="shared" ref="G2:G42" si="0">B2&amp;".TabIndex = "&amp;H2</f>
        <v xml:space="preserve">frm_dados1.txtBairro.TabIndex = </v>
      </c>
      <c r="H2" s="82"/>
      <c r="I2" s="82" t="str">
        <f>C2&amp;" = """" OR _"</f>
        <v>frm_dados1.txtBairro.text = "" OR _</v>
      </c>
      <c r="J2" s="82" t="str">
        <f>C2&amp;" = "&amp;D2</f>
        <v>frm_dados1.txtBairro.text = Bairro</v>
      </c>
      <c r="K2" s="82"/>
      <c r="L2" s="82">
        <v>3</v>
      </c>
      <c r="M2" s="82" t="str">
        <f>"Cells(ultm_lin,"&amp;L2&amp;").value = "&amp;D2</f>
        <v>Cells(ultm_lin,3).value = Bairro</v>
      </c>
      <c r="N2" s="82" t="str">
        <f>D2 &amp; " = Cells(n,"&amp;L2&amp;").value "</f>
        <v xml:space="preserve">Bairro = Cells(n,3).value </v>
      </c>
      <c r="O2" s="82" t="str">
        <f>C2&amp;" = """""</f>
        <v>frm_dados1.txtBairro.text = ""</v>
      </c>
      <c r="P2" s="82" t="str">
        <f>C2&amp;" = """&amp;D2&amp;""""</f>
        <v>frm_dados1.txtBairro.text = "Bairro"</v>
      </c>
      <c r="Q2" s="82" t="str">
        <f>D2&amp;" = """""</f>
        <v>Bairro = ""</v>
      </c>
      <c r="R2" s="82"/>
    </row>
    <row r="3" spans="1:18" x14ac:dyDescent="0.2">
      <c r="A3" s="82" t="s">
        <v>75</v>
      </c>
      <c r="B3" s="82" t="s">
        <v>117</v>
      </c>
      <c r="C3" s="82" t="str">
        <f t="shared" ref="C3:C43" si="1">B3&amp;".text"</f>
        <v>frm_dados1.txtCidade.text</v>
      </c>
      <c r="D3" s="82" t="s">
        <v>19</v>
      </c>
      <c r="E3" s="82" t="str">
        <f t="shared" ref="E3:E43" si="2">"Public "&amp;D3&amp;" as String"</f>
        <v>Public Cidade as String</v>
      </c>
      <c r="F3" s="82" t="str">
        <f t="shared" ref="F3:F42" si="3">D3&amp;" = "&amp;C3</f>
        <v>Cidade = frm_dados1.txtCidade.text</v>
      </c>
      <c r="G3" s="82" t="str">
        <f t="shared" si="0"/>
        <v xml:space="preserve">frm_dados1.txtCidade.TabIndex = </v>
      </c>
      <c r="H3" s="82"/>
      <c r="I3" s="82" t="str">
        <f t="shared" ref="I3:I25" si="4">C3&amp;" = """" OR _"</f>
        <v>frm_dados1.txtCidade.text = "" OR _</v>
      </c>
      <c r="J3" s="82" t="str">
        <f t="shared" ref="J3:J25" si="5">C3&amp;" = "&amp;D3</f>
        <v>frm_dados1.txtCidade.text = Cidade</v>
      </c>
      <c r="K3" s="82"/>
      <c r="L3" s="82">
        <f>L2+1</f>
        <v>4</v>
      </c>
      <c r="M3" s="82" t="str">
        <f t="shared" ref="M3:M25" si="6">"Cells(ultm_lin,"&amp;L3&amp;").value = "&amp;D3</f>
        <v>Cells(ultm_lin,4).value = Cidade</v>
      </c>
      <c r="N3" s="82" t="str">
        <f t="shared" ref="N3:N25" si="7">D3 &amp; " = Cells(n,"&amp;L3&amp;").value "</f>
        <v xml:space="preserve">Cidade = Cells(n,4).value </v>
      </c>
      <c r="O3" s="82" t="str">
        <f t="shared" ref="O3:O44" si="8">C3&amp;" = """""</f>
        <v>frm_dados1.txtCidade.text = ""</v>
      </c>
      <c r="P3" s="82" t="str">
        <f t="shared" ref="P3:P54" si="9">C3&amp;" = """&amp;D3&amp;""""</f>
        <v>frm_dados1.txtCidade.text = "Cidade"</v>
      </c>
      <c r="Q3" s="82" t="str">
        <f t="shared" ref="Q3:Q10" si="10">D3&amp;" = """""</f>
        <v>Cidade = ""</v>
      </c>
      <c r="R3" s="82"/>
    </row>
    <row r="4" spans="1:18" x14ac:dyDescent="0.2">
      <c r="A4" s="82" t="s">
        <v>75</v>
      </c>
      <c r="B4" s="82" t="s">
        <v>118</v>
      </c>
      <c r="C4" s="82" t="str">
        <f t="shared" si="1"/>
        <v>frm_dados1.txtCorrenteChave.text</v>
      </c>
      <c r="D4" s="82" t="s">
        <v>79</v>
      </c>
      <c r="E4" s="82" t="str">
        <f t="shared" si="2"/>
        <v>Public CorrenteChave as String</v>
      </c>
      <c r="F4" s="82" t="str">
        <f t="shared" si="3"/>
        <v>CorrenteChave = frm_dados1.txtCorrenteChave.text</v>
      </c>
      <c r="G4" s="82" t="str">
        <f t="shared" si="0"/>
        <v xml:space="preserve">frm_dados1.txtCorrenteChave.TabIndex = </v>
      </c>
      <c r="H4" s="82"/>
      <c r="I4" s="82" t="str">
        <f t="shared" si="4"/>
        <v>frm_dados1.txtCorrenteChave.text = "" OR _</v>
      </c>
      <c r="J4" s="82" t="str">
        <f t="shared" si="5"/>
        <v>frm_dados1.txtCorrenteChave.text = CorrenteChave</v>
      </c>
      <c r="K4" s="82"/>
      <c r="L4" s="82">
        <f t="shared" ref="L4:L39" si="11">L3+1</f>
        <v>5</v>
      </c>
      <c r="M4" s="82" t="str">
        <f t="shared" si="6"/>
        <v>Cells(ultm_lin,5).value = CorrenteChave</v>
      </c>
      <c r="N4" s="82" t="str">
        <f t="shared" si="7"/>
        <v xml:space="preserve">CorrenteChave = Cells(n,5).value </v>
      </c>
      <c r="O4" s="82" t="str">
        <f t="shared" si="8"/>
        <v>frm_dados1.txtCorrenteChave.text = ""</v>
      </c>
      <c r="P4" s="82" t="str">
        <f t="shared" si="9"/>
        <v>frm_dados1.txtCorrenteChave.text = "CorrenteChave"</v>
      </c>
      <c r="Q4" s="82" t="str">
        <f t="shared" si="10"/>
        <v>CorrenteChave = ""</v>
      </c>
      <c r="R4" s="82"/>
    </row>
    <row r="5" spans="1:18" x14ac:dyDescent="0.2">
      <c r="A5" s="82" t="s">
        <v>75</v>
      </c>
      <c r="B5" s="82" t="s">
        <v>119</v>
      </c>
      <c r="C5" s="82" t="str">
        <f t="shared" si="1"/>
        <v>frm_dados1.txtCorrenteDpsCA.text</v>
      </c>
      <c r="D5" s="82" t="s">
        <v>80</v>
      </c>
      <c r="E5" s="82" t="str">
        <f t="shared" si="2"/>
        <v>Public CorrenteDpsCA as String</v>
      </c>
      <c r="F5" s="82" t="str">
        <f t="shared" si="3"/>
        <v>CorrenteDpsCA = frm_dados1.txtCorrenteDpsCA.text</v>
      </c>
      <c r="G5" s="82" t="str">
        <f t="shared" si="0"/>
        <v xml:space="preserve">frm_dados1.txtCorrenteDpsCA.TabIndex = </v>
      </c>
      <c r="H5" s="82"/>
      <c r="I5" s="82" t="str">
        <f t="shared" si="4"/>
        <v>frm_dados1.txtCorrenteDpsCA.text = "" OR _</v>
      </c>
      <c r="J5" s="82" t="str">
        <f t="shared" si="5"/>
        <v>frm_dados1.txtCorrenteDpsCA.text = CorrenteDpsCA</v>
      </c>
      <c r="K5" s="82"/>
      <c r="L5" s="82">
        <f t="shared" si="11"/>
        <v>6</v>
      </c>
      <c r="M5" s="82" t="str">
        <f t="shared" si="6"/>
        <v>Cells(ultm_lin,6).value = CorrenteDpsCA</v>
      </c>
      <c r="N5" s="82" t="str">
        <f t="shared" si="7"/>
        <v xml:space="preserve">CorrenteDpsCA = Cells(n,6).value </v>
      </c>
      <c r="O5" s="82" t="str">
        <f t="shared" si="8"/>
        <v>frm_dados1.txtCorrenteDpsCA.text = ""</v>
      </c>
      <c r="P5" s="82" t="str">
        <f t="shared" si="9"/>
        <v>frm_dados1.txtCorrenteDpsCA.text = "CorrenteDpsCA"</v>
      </c>
      <c r="Q5" s="82" t="str">
        <f t="shared" si="10"/>
        <v>CorrenteDpsCA = ""</v>
      </c>
      <c r="R5" s="82"/>
    </row>
    <row r="6" spans="1:18" x14ac:dyDescent="0.2">
      <c r="A6" s="82" t="s">
        <v>75</v>
      </c>
      <c r="B6" s="82" t="s">
        <v>120</v>
      </c>
      <c r="C6" s="82" t="str">
        <f t="shared" si="1"/>
        <v>frm_dados1.txtCorrenteDpsCC.text</v>
      </c>
      <c r="D6" s="82" t="s">
        <v>81</v>
      </c>
      <c r="E6" s="82" t="str">
        <f t="shared" si="2"/>
        <v>Public CorrenteDpsCC as String</v>
      </c>
      <c r="F6" s="82" t="str">
        <f t="shared" si="3"/>
        <v>CorrenteDpsCC = frm_dados1.txtCorrenteDpsCC.text</v>
      </c>
      <c r="G6" s="82" t="str">
        <f t="shared" si="0"/>
        <v xml:space="preserve">frm_dados1.txtCorrenteDpsCC.TabIndex = </v>
      </c>
      <c r="H6" s="82"/>
      <c r="I6" s="82" t="str">
        <f t="shared" si="4"/>
        <v>frm_dados1.txtCorrenteDpsCC.text = "" OR _</v>
      </c>
      <c r="J6" s="82" t="str">
        <f t="shared" si="5"/>
        <v>frm_dados1.txtCorrenteDpsCC.text = CorrenteDpsCC</v>
      </c>
      <c r="K6" s="82"/>
      <c r="L6" s="82">
        <f t="shared" si="11"/>
        <v>7</v>
      </c>
      <c r="M6" s="82" t="str">
        <f t="shared" si="6"/>
        <v>Cells(ultm_lin,7).value = CorrenteDpsCC</v>
      </c>
      <c r="N6" s="82" t="str">
        <f t="shared" si="7"/>
        <v xml:space="preserve">CorrenteDpsCC = Cells(n,7).value </v>
      </c>
      <c r="O6" s="82" t="str">
        <f t="shared" si="8"/>
        <v>frm_dados1.txtCorrenteDpsCC.text = ""</v>
      </c>
      <c r="P6" s="82" t="str">
        <f t="shared" si="9"/>
        <v>frm_dados1.txtCorrenteDpsCC.text = "CorrenteDpsCC"</v>
      </c>
      <c r="Q6" s="82" t="str">
        <f t="shared" si="10"/>
        <v>CorrenteDpsCC = ""</v>
      </c>
      <c r="R6" s="82"/>
    </row>
    <row r="7" spans="1:18" x14ac:dyDescent="0.2">
      <c r="A7" s="82" t="s">
        <v>75</v>
      </c>
      <c r="B7" s="82" t="s">
        <v>121</v>
      </c>
      <c r="C7" s="82" t="str">
        <f t="shared" si="1"/>
        <v>frm_dados1.txtEstado.text</v>
      </c>
      <c r="D7" s="82" t="s">
        <v>20</v>
      </c>
      <c r="E7" s="82" t="str">
        <f t="shared" si="2"/>
        <v>Public Estado as String</v>
      </c>
      <c r="F7" s="82" t="str">
        <f t="shared" si="3"/>
        <v>Estado = frm_dados1.txtEstado.text</v>
      </c>
      <c r="G7" s="82" t="str">
        <f t="shared" si="0"/>
        <v xml:space="preserve">frm_dados1.txtEstado.TabIndex = </v>
      </c>
      <c r="H7" s="82"/>
      <c r="I7" s="82" t="str">
        <f t="shared" si="4"/>
        <v>frm_dados1.txtEstado.text = "" OR _</v>
      </c>
      <c r="J7" s="82" t="str">
        <f t="shared" si="5"/>
        <v>frm_dados1.txtEstado.text = Estado</v>
      </c>
      <c r="K7" s="82"/>
      <c r="L7" s="82">
        <f t="shared" si="11"/>
        <v>8</v>
      </c>
      <c r="M7" s="82" t="str">
        <f t="shared" si="6"/>
        <v>Cells(ultm_lin,8).value = Estado</v>
      </c>
      <c r="N7" s="82" t="str">
        <f t="shared" si="7"/>
        <v xml:space="preserve">Estado = Cells(n,8).value </v>
      </c>
      <c r="O7" s="82" t="str">
        <f t="shared" si="8"/>
        <v>frm_dados1.txtEstado.text = ""</v>
      </c>
      <c r="P7" s="82" t="str">
        <f t="shared" si="9"/>
        <v>frm_dados1.txtEstado.text = "Estado"</v>
      </c>
      <c r="Q7" s="82" t="str">
        <f t="shared" si="10"/>
        <v>Estado = ""</v>
      </c>
      <c r="R7" s="82"/>
    </row>
    <row r="8" spans="1:18" x14ac:dyDescent="0.2">
      <c r="A8" s="82" t="s">
        <v>75</v>
      </c>
      <c r="B8" s="82" t="s">
        <v>122</v>
      </c>
      <c r="C8" s="82" t="str">
        <f t="shared" si="1"/>
        <v>frm_dados1.txtNome.text</v>
      </c>
      <c r="D8" s="82" t="s">
        <v>15</v>
      </c>
      <c r="E8" s="82" t="str">
        <f t="shared" si="2"/>
        <v>Public Nome as String</v>
      </c>
      <c r="F8" s="82" t="str">
        <f t="shared" si="3"/>
        <v>Nome = frm_dados1.txtNome.text</v>
      </c>
      <c r="G8" s="82" t="str">
        <f t="shared" si="0"/>
        <v>frm_dados1.txtNome.TabIndex = 1</v>
      </c>
      <c r="H8" s="82">
        <v>1</v>
      </c>
      <c r="I8" s="82" t="str">
        <f t="shared" si="4"/>
        <v>frm_dados1.txtNome.text = "" OR _</v>
      </c>
      <c r="J8" s="82" t="str">
        <f t="shared" si="5"/>
        <v>frm_dados1.txtNome.text = Nome</v>
      </c>
      <c r="K8" s="82"/>
      <c r="L8" s="82">
        <f t="shared" si="11"/>
        <v>9</v>
      </c>
      <c r="M8" s="82" t="str">
        <f t="shared" si="6"/>
        <v>Cells(ultm_lin,9).value = Nome</v>
      </c>
      <c r="N8" s="82" t="str">
        <f t="shared" si="7"/>
        <v xml:space="preserve">Nome = Cells(n,9).value </v>
      </c>
      <c r="O8" s="82" t="str">
        <f t="shared" si="8"/>
        <v>frm_dados1.txtNome.text = ""</v>
      </c>
      <c r="P8" s="82" t="str">
        <f t="shared" si="9"/>
        <v>frm_dados1.txtNome.text = "Nome"</v>
      </c>
      <c r="Q8" s="82" t="str">
        <f t="shared" si="10"/>
        <v>Nome = ""</v>
      </c>
      <c r="R8" s="82"/>
    </row>
    <row r="9" spans="1:18" x14ac:dyDescent="0.2">
      <c r="A9" s="82" t="s">
        <v>75</v>
      </c>
      <c r="B9" s="82" t="s">
        <v>123</v>
      </c>
      <c r="C9" s="82" t="str">
        <f t="shared" si="1"/>
        <v>frm_dados1.txtNro.text</v>
      </c>
      <c r="D9" s="82" t="s">
        <v>82</v>
      </c>
      <c r="E9" s="82" t="str">
        <f t="shared" si="2"/>
        <v>Public Nro as String</v>
      </c>
      <c r="F9" s="82" t="str">
        <f t="shared" si="3"/>
        <v>Nro = frm_dados1.txtNro.text</v>
      </c>
      <c r="G9" s="82" t="str">
        <f t="shared" si="0"/>
        <v xml:space="preserve">frm_dados1.txtNro.TabIndex = </v>
      </c>
      <c r="H9" s="82"/>
      <c r="I9" s="82" t="str">
        <f t="shared" si="4"/>
        <v>frm_dados1.txtNro.text = "" OR _</v>
      </c>
      <c r="J9" s="82" t="str">
        <f t="shared" si="5"/>
        <v>frm_dados1.txtNro.text = Nro</v>
      </c>
      <c r="K9" s="82"/>
      <c r="L9" s="82">
        <f t="shared" si="11"/>
        <v>10</v>
      </c>
      <c r="M9" s="82" t="str">
        <f t="shared" si="6"/>
        <v>Cells(ultm_lin,10).value = Nro</v>
      </c>
      <c r="N9" s="82" t="str">
        <f t="shared" si="7"/>
        <v xml:space="preserve">Nro = Cells(n,10).value </v>
      </c>
      <c r="O9" s="82" t="str">
        <f t="shared" si="8"/>
        <v>frm_dados1.txtNro.text = ""</v>
      </c>
      <c r="P9" s="82" t="str">
        <f t="shared" si="9"/>
        <v>frm_dados1.txtNro.text = "Nro"</v>
      </c>
      <c r="Q9" s="82" t="str">
        <f t="shared" si="10"/>
        <v>Nro = ""</v>
      </c>
      <c r="R9" s="82"/>
    </row>
    <row r="10" spans="1:18" x14ac:dyDescent="0.2">
      <c r="A10" s="82" t="s">
        <v>75</v>
      </c>
      <c r="B10" s="82" t="s">
        <v>124</v>
      </c>
      <c r="C10" s="82" t="str">
        <f t="shared" si="1"/>
        <v>frm_dados1.txtQtdChave.text</v>
      </c>
      <c r="D10" s="82" t="s">
        <v>83</v>
      </c>
      <c r="E10" s="82" t="str">
        <f t="shared" si="2"/>
        <v>Public QtdChave as String</v>
      </c>
      <c r="F10" s="82" t="str">
        <f t="shared" si="3"/>
        <v>QtdChave = frm_dados1.txtQtdChave.text</v>
      </c>
      <c r="G10" s="82" t="str">
        <f t="shared" si="0"/>
        <v xml:space="preserve">frm_dados1.txtQtdChave.TabIndex = </v>
      </c>
      <c r="H10" s="82"/>
      <c r="I10" s="82" t="str">
        <f t="shared" si="4"/>
        <v>frm_dados1.txtQtdChave.text = "" OR _</v>
      </c>
      <c r="J10" s="82" t="str">
        <f t="shared" si="5"/>
        <v>frm_dados1.txtQtdChave.text = QtdChave</v>
      </c>
      <c r="K10" s="82"/>
      <c r="L10" s="82">
        <f t="shared" si="11"/>
        <v>11</v>
      </c>
      <c r="M10" s="82" t="str">
        <f t="shared" si="6"/>
        <v>Cells(ultm_lin,11).value = QtdChave</v>
      </c>
      <c r="N10" s="82" t="str">
        <f t="shared" si="7"/>
        <v xml:space="preserve">QtdChave = Cells(n,11).value </v>
      </c>
      <c r="O10" s="82" t="str">
        <f t="shared" si="8"/>
        <v>frm_dados1.txtQtdChave.text = ""</v>
      </c>
      <c r="P10" s="82" t="str">
        <f t="shared" si="9"/>
        <v>frm_dados1.txtQtdChave.text = "QtdChave"</v>
      </c>
      <c r="Q10" s="82" t="str">
        <f t="shared" si="10"/>
        <v>QtdChave = ""</v>
      </c>
      <c r="R10" s="82"/>
    </row>
    <row r="11" spans="1:18" x14ac:dyDescent="0.2">
      <c r="A11" s="82" t="s">
        <v>75</v>
      </c>
      <c r="B11" s="82" t="s">
        <v>206</v>
      </c>
      <c r="C11" s="82" t="str">
        <f t="shared" si="1"/>
        <v>frm_dados1.cmbQtdDpsCC.text</v>
      </c>
      <c r="D11" s="82" t="s">
        <v>84</v>
      </c>
      <c r="E11" s="82" t="str">
        <f t="shared" si="2"/>
        <v>Public QtdDpsCC as String</v>
      </c>
      <c r="F11" s="82" t="str">
        <f t="shared" si="3"/>
        <v>QtdDpsCC = frm_dados1.cmbQtdDpsCC.text</v>
      </c>
      <c r="G11" s="82" t="str">
        <f t="shared" si="0"/>
        <v xml:space="preserve">frm_dados1.cmbQtdDpsCC.TabIndex = </v>
      </c>
      <c r="H11" s="82"/>
      <c r="I11" s="82" t="str">
        <f t="shared" si="4"/>
        <v>frm_dados1.cmbQtdDpsCC.text = "" OR _</v>
      </c>
      <c r="J11" s="82" t="str">
        <f t="shared" si="5"/>
        <v>frm_dados1.cmbQtdDpsCC.text = QtdDpsCC</v>
      </c>
      <c r="K11" s="82"/>
      <c r="L11" s="82">
        <f t="shared" si="11"/>
        <v>12</v>
      </c>
      <c r="M11" s="82" t="str">
        <f t="shared" si="6"/>
        <v>Cells(ultm_lin,12).value = QtdDpsCC</v>
      </c>
      <c r="N11" s="82" t="str">
        <f t="shared" si="7"/>
        <v xml:space="preserve">QtdDpsCC = Cells(n,12).value </v>
      </c>
      <c r="O11" s="82" t="str">
        <f t="shared" si="8"/>
        <v>frm_dados1.cmbQtdDpsCC.text = ""</v>
      </c>
      <c r="P11" s="82" t="str">
        <f t="shared" si="9"/>
        <v>frm_dados1.cmbQtdDpsCC.text = "QtdDpsCC"</v>
      </c>
      <c r="Q11" s="82"/>
      <c r="R11" s="82"/>
    </row>
    <row r="12" spans="1:18" x14ac:dyDescent="0.2">
      <c r="A12" s="82" t="s">
        <v>75</v>
      </c>
      <c r="B12" s="82" t="s">
        <v>125</v>
      </c>
      <c r="C12" s="82" t="str">
        <f t="shared" si="1"/>
        <v>frm_dados1.txtRua.text</v>
      </c>
      <c r="D12" s="82" t="s">
        <v>16</v>
      </c>
      <c r="E12" s="82" t="str">
        <f t="shared" si="2"/>
        <v>Public Rua as String</v>
      </c>
      <c r="F12" s="82" t="str">
        <f t="shared" si="3"/>
        <v>Rua = frm_dados1.txtRua.text</v>
      </c>
      <c r="G12" s="82" t="str">
        <f t="shared" si="0"/>
        <v xml:space="preserve">frm_dados1.txtRua.TabIndex = </v>
      </c>
      <c r="H12" s="82"/>
      <c r="I12" s="82" t="str">
        <f t="shared" si="4"/>
        <v>frm_dados1.txtRua.text = "" OR _</v>
      </c>
      <c r="J12" s="82" t="str">
        <f t="shared" si="5"/>
        <v>frm_dados1.txtRua.text = Rua</v>
      </c>
      <c r="K12" s="82"/>
      <c r="L12" s="82">
        <f>L11+1</f>
        <v>13</v>
      </c>
      <c r="M12" s="82" t="str">
        <f t="shared" si="6"/>
        <v>Cells(ultm_lin,13).value = Rua</v>
      </c>
      <c r="N12" s="82" t="str">
        <f t="shared" si="7"/>
        <v xml:space="preserve">Rua = Cells(n,13).value </v>
      </c>
      <c r="O12" s="82" t="str">
        <f t="shared" si="8"/>
        <v>frm_dados1.txtRua.text = ""</v>
      </c>
      <c r="P12" s="82" t="str">
        <f t="shared" si="9"/>
        <v>frm_dados1.txtRua.text = "Rua"</v>
      </c>
      <c r="Q12" s="82" t="str">
        <f>D12&amp;" = """""</f>
        <v>Rua = ""</v>
      </c>
      <c r="R12" s="82"/>
    </row>
    <row r="13" spans="1:18" x14ac:dyDescent="0.2">
      <c r="A13" s="82" t="s">
        <v>75</v>
      </c>
      <c r="B13" s="82" t="s">
        <v>126</v>
      </c>
      <c r="C13" s="82" t="str">
        <f t="shared" si="1"/>
        <v>frm_dados1.txtTensaoChave.text</v>
      </c>
      <c r="D13" s="82" t="s">
        <v>85</v>
      </c>
      <c r="E13" s="82" t="str">
        <f t="shared" si="2"/>
        <v>Public TensaoChave as String</v>
      </c>
      <c r="F13" s="82" t="str">
        <f t="shared" si="3"/>
        <v>TensaoChave = frm_dados1.txtTensaoChave.text</v>
      </c>
      <c r="G13" s="82" t="str">
        <f t="shared" si="0"/>
        <v xml:space="preserve">frm_dados1.txtTensaoChave.TabIndex = </v>
      </c>
      <c r="H13" s="82"/>
      <c r="I13" s="82" t="str">
        <f t="shared" si="4"/>
        <v>frm_dados1.txtTensaoChave.text = "" OR _</v>
      </c>
      <c r="J13" s="82" t="str">
        <f t="shared" si="5"/>
        <v>frm_dados1.txtTensaoChave.text = TensaoChave</v>
      </c>
      <c r="K13" s="82"/>
      <c r="L13" s="82">
        <f t="shared" si="11"/>
        <v>14</v>
      </c>
      <c r="M13" s="82" t="str">
        <f t="shared" si="6"/>
        <v>Cells(ultm_lin,14).value = TensaoChave</v>
      </c>
      <c r="N13" s="82" t="str">
        <f t="shared" si="7"/>
        <v xml:space="preserve">TensaoChave = Cells(n,14).value </v>
      </c>
      <c r="O13" s="82" t="str">
        <f t="shared" si="8"/>
        <v>frm_dados1.txtTensaoChave.text = ""</v>
      </c>
      <c r="P13" s="82" t="str">
        <f t="shared" si="9"/>
        <v>frm_dados1.txtTensaoChave.text = "TensaoChave"</v>
      </c>
      <c r="Q13" s="82" t="str">
        <f>D13&amp;" = """""</f>
        <v>TensaoChave = ""</v>
      </c>
      <c r="R13" s="82"/>
    </row>
    <row r="14" spans="1:18" x14ac:dyDescent="0.2">
      <c r="A14" s="82" t="s">
        <v>75</v>
      </c>
      <c r="B14" s="82" t="s">
        <v>127</v>
      </c>
      <c r="C14" s="82" t="str">
        <f t="shared" si="1"/>
        <v>frm_dados1.cmbBitolaCabo.text</v>
      </c>
      <c r="D14" s="82" t="s">
        <v>86</v>
      </c>
      <c r="E14" s="82" t="str">
        <f t="shared" si="2"/>
        <v>Public BitolaCabo as String</v>
      </c>
      <c r="F14" s="82" t="str">
        <f t="shared" si="3"/>
        <v>BitolaCabo = frm_dados1.cmbBitolaCabo.text</v>
      </c>
      <c r="G14" s="82" t="str">
        <f t="shared" si="0"/>
        <v xml:space="preserve">frm_dados1.cmbBitolaCabo.TabIndex = </v>
      </c>
      <c r="H14" s="82"/>
      <c r="I14" s="82" t="str">
        <f t="shared" si="4"/>
        <v>frm_dados1.cmbBitolaCabo.text = "" OR _</v>
      </c>
      <c r="J14" s="82" t="str">
        <f t="shared" si="5"/>
        <v>frm_dados1.cmbBitolaCabo.text = BitolaCabo</v>
      </c>
      <c r="K14" s="82" t="str">
        <f>B14&amp;".AddItem """""</f>
        <v>frm_dados1.cmbBitolaCabo.AddItem ""</v>
      </c>
      <c r="L14" s="82">
        <f t="shared" si="11"/>
        <v>15</v>
      </c>
      <c r="M14" s="82" t="str">
        <f t="shared" si="6"/>
        <v>Cells(ultm_lin,15).value = BitolaCabo</v>
      </c>
      <c r="N14" s="82" t="str">
        <f t="shared" si="7"/>
        <v xml:space="preserve">BitolaCabo = Cells(n,15).value </v>
      </c>
      <c r="O14" s="82" t="str">
        <f t="shared" si="8"/>
        <v>frm_dados1.cmbBitolaCabo.text = ""</v>
      </c>
      <c r="P14" s="82" t="str">
        <f t="shared" si="9"/>
        <v>frm_dados1.cmbBitolaCabo.text = "BitolaCabo"</v>
      </c>
      <c r="Q14" s="82"/>
      <c r="R14" s="82"/>
    </row>
    <row r="15" spans="1:18" x14ac:dyDescent="0.2">
      <c r="A15" s="82" t="s">
        <v>75</v>
      </c>
      <c r="B15" s="82" t="s">
        <v>128</v>
      </c>
      <c r="C15" s="82" t="str">
        <f t="shared" si="1"/>
        <v>frm_dados1.cmbConcessionaria.text</v>
      </c>
      <c r="D15" s="82" t="s">
        <v>68</v>
      </c>
      <c r="E15" s="82" t="str">
        <f t="shared" si="2"/>
        <v>Public Concessionaria as String</v>
      </c>
      <c r="F15" s="82" t="str">
        <f t="shared" si="3"/>
        <v>Concessionaria = frm_dados1.cmbConcessionaria.text</v>
      </c>
      <c r="G15" s="82" t="str">
        <f t="shared" si="0"/>
        <v xml:space="preserve">frm_dados1.cmbConcessionaria.TabIndex = </v>
      </c>
      <c r="H15" s="82"/>
      <c r="I15" s="82" t="str">
        <f t="shared" si="4"/>
        <v>frm_dados1.cmbConcessionaria.text = "" OR _</v>
      </c>
      <c r="J15" s="82" t="str">
        <f t="shared" si="5"/>
        <v>frm_dados1.cmbConcessionaria.text = Concessionaria</v>
      </c>
      <c r="K15" s="82" t="str">
        <f t="shared" ref="K15:K25" si="12">B15&amp;".AddItem """""</f>
        <v>frm_dados1.cmbConcessionaria.AddItem ""</v>
      </c>
      <c r="L15" s="82">
        <f t="shared" si="11"/>
        <v>16</v>
      </c>
      <c r="M15" s="82" t="str">
        <f t="shared" si="6"/>
        <v>Cells(ultm_lin,16).value = Concessionaria</v>
      </c>
      <c r="N15" s="82" t="str">
        <f t="shared" si="7"/>
        <v xml:space="preserve">Concessionaria = Cells(n,16).value </v>
      </c>
      <c r="O15" s="82" t="str">
        <f t="shared" si="8"/>
        <v>frm_dados1.cmbConcessionaria.text = ""</v>
      </c>
      <c r="P15" s="82" t="str">
        <f t="shared" si="9"/>
        <v>frm_dados1.cmbConcessionaria.text = "Concessionaria"</v>
      </c>
      <c r="Q15" s="82"/>
      <c r="R15" s="82"/>
    </row>
    <row r="16" spans="1:18" x14ac:dyDescent="0.2">
      <c r="A16" s="82" t="s">
        <v>75</v>
      </c>
      <c r="B16" s="82" t="s">
        <v>129</v>
      </c>
      <c r="C16" s="82" t="str">
        <f t="shared" si="1"/>
        <v>frm_dados1.cmbCorrenteDijuntorCA.text</v>
      </c>
      <c r="D16" s="82" t="s">
        <v>87</v>
      </c>
      <c r="E16" s="82" t="str">
        <f t="shared" si="2"/>
        <v>Public CorrenteDijuntorCA as String</v>
      </c>
      <c r="F16" s="82" t="str">
        <f t="shared" si="3"/>
        <v>CorrenteDijuntorCA = frm_dados1.cmbCorrenteDijuntorCA.text</v>
      </c>
      <c r="G16" s="82" t="str">
        <f t="shared" si="0"/>
        <v xml:space="preserve">frm_dados1.cmbCorrenteDijuntorCA.TabIndex = </v>
      </c>
      <c r="H16" s="82"/>
      <c r="I16" s="82" t="str">
        <f t="shared" si="4"/>
        <v>frm_dados1.cmbCorrenteDijuntorCA.text = "" OR _</v>
      </c>
      <c r="J16" s="82" t="str">
        <f t="shared" si="5"/>
        <v>frm_dados1.cmbCorrenteDijuntorCA.text = CorrenteDijuntorCA</v>
      </c>
      <c r="K16" s="82" t="str">
        <f t="shared" si="12"/>
        <v>frm_dados1.cmbCorrenteDijuntorCA.AddItem ""</v>
      </c>
      <c r="L16" s="82">
        <f t="shared" si="11"/>
        <v>17</v>
      </c>
      <c r="M16" s="82" t="str">
        <f t="shared" si="6"/>
        <v>Cells(ultm_lin,17).value = CorrenteDijuntorCA</v>
      </c>
      <c r="N16" s="82" t="str">
        <f t="shared" si="7"/>
        <v xml:space="preserve">CorrenteDijuntorCA = Cells(n,17).value </v>
      </c>
      <c r="O16" s="82" t="str">
        <f t="shared" si="8"/>
        <v>frm_dados1.cmbCorrenteDijuntorCA.text = ""</v>
      </c>
      <c r="P16" s="82" t="str">
        <f t="shared" si="9"/>
        <v>frm_dados1.cmbCorrenteDijuntorCA.text = "CorrenteDijuntorCA"</v>
      </c>
      <c r="Q16" s="82"/>
      <c r="R16" s="82"/>
    </row>
    <row r="17" spans="1:18" x14ac:dyDescent="0.2">
      <c r="A17" s="82" t="s">
        <v>75</v>
      </c>
      <c r="B17" s="82" t="s">
        <v>130</v>
      </c>
      <c r="C17" s="82" t="str">
        <f t="shared" si="1"/>
        <v>frm_dados1.cmbCorrenteDijuntorPoste.text</v>
      </c>
      <c r="D17" s="82" t="s">
        <v>88</v>
      </c>
      <c r="E17" s="82" t="str">
        <f t="shared" si="2"/>
        <v>Public CorrenteDijuntorPoste as String</v>
      </c>
      <c r="F17" s="82" t="str">
        <f t="shared" si="3"/>
        <v>CorrenteDijuntorPoste = frm_dados1.cmbCorrenteDijuntorPoste.text</v>
      </c>
      <c r="G17" s="82" t="str">
        <f t="shared" si="0"/>
        <v xml:space="preserve">frm_dados1.cmbCorrenteDijuntorPoste.TabIndex = </v>
      </c>
      <c r="H17" s="82"/>
      <c r="I17" s="82" t="str">
        <f t="shared" si="4"/>
        <v>frm_dados1.cmbCorrenteDijuntorPoste.text = "" OR _</v>
      </c>
      <c r="J17" s="82" t="str">
        <f t="shared" si="5"/>
        <v>frm_dados1.cmbCorrenteDijuntorPoste.text = CorrenteDijuntorPoste</v>
      </c>
      <c r="K17" s="82" t="str">
        <f t="shared" si="12"/>
        <v>frm_dados1.cmbCorrenteDijuntorPoste.AddItem ""</v>
      </c>
      <c r="L17" s="82">
        <f t="shared" si="11"/>
        <v>18</v>
      </c>
      <c r="M17" s="82" t="str">
        <f t="shared" si="6"/>
        <v>Cells(ultm_lin,18).value = CorrenteDijuntorPoste</v>
      </c>
      <c r="N17" s="82" t="str">
        <f t="shared" si="7"/>
        <v xml:space="preserve">CorrenteDijuntorPoste = Cells(n,18).value </v>
      </c>
      <c r="O17" s="82" t="str">
        <f t="shared" si="8"/>
        <v>frm_dados1.cmbCorrenteDijuntorPoste.text = ""</v>
      </c>
      <c r="P17" s="82" t="str">
        <f t="shared" si="9"/>
        <v>frm_dados1.cmbCorrenteDijuntorPoste.text = "CorrenteDijuntorPoste"</v>
      </c>
      <c r="Q17" s="82"/>
      <c r="R17" s="82"/>
    </row>
    <row r="18" spans="1:18" x14ac:dyDescent="0.2">
      <c r="A18" s="82" t="s">
        <v>75</v>
      </c>
      <c r="B18" s="82" t="s">
        <v>131</v>
      </c>
      <c r="C18" s="82" t="str">
        <f t="shared" si="1"/>
        <v>frm_dados1.cmbDiametroCaboPoste.text</v>
      </c>
      <c r="D18" s="82" t="s">
        <v>89</v>
      </c>
      <c r="E18" s="82" t="str">
        <f t="shared" si="2"/>
        <v>Public DiametroCaboPoste as String</v>
      </c>
      <c r="F18" s="82" t="str">
        <f t="shared" si="3"/>
        <v>DiametroCaboPoste = frm_dados1.cmbDiametroCaboPoste.text</v>
      </c>
      <c r="G18" s="82" t="str">
        <f t="shared" si="0"/>
        <v xml:space="preserve">frm_dados1.cmbDiametroCaboPoste.TabIndex = </v>
      </c>
      <c r="H18" s="82"/>
      <c r="I18" s="82" t="str">
        <f t="shared" si="4"/>
        <v>frm_dados1.cmbDiametroCaboPoste.text = "" OR _</v>
      </c>
      <c r="J18" s="82" t="str">
        <f t="shared" si="5"/>
        <v>frm_dados1.cmbDiametroCaboPoste.text = DiametroCaboPoste</v>
      </c>
      <c r="K18" s="82" t="str">
        <f t="shared" si="12"/>
        <v>frm_dados1.cmbDiametroCaboPoste.AddItem ""</v>
      </c>
      <c r="L18" s="82">
        <f t="shared" si="11"/>
        <v>19</v>
      </c>
      <c r="M18" s="82" t="str">
        <f t="shared" si="6"/>
        <v>Cells(ultm_lin,19).value = DiametroCaboPoste</v>
      </c>
      <c r="N18" s="82" t="str">
        <f t="shared" si="7"/>
        <v xml:space="preserve">DiametroCaboPoste = Cells(n,19).value </v>
      </c>
      <c r="O18" s="82" t="str">
        <f t="shared" si="8"/>
        <v>frm_dados1.cmbDiametroCaboPoste.text = ""</v>
      </c>
      <c r="P18" s="82" t="str">
        <f t="shared" si="9"/>
        <v>frm_dados1.cmbDiametroCaboPoste.text = "DiametroCaboPoste"</v>
      </c>
      <c r="Q18" s="82"/>
      <c r="R18" s="82"/>
    </row>
    <row r="19" spans="1:18" x14ac:dyDescent="0.2">
      <c r="A19" s="82" t="s">
        <v>75</v>
      </c>
      <c r="B19" s="82" t="s">
        <v>132</v>
      </c>
      <c r="C19" s="82" t="str">
        <f t="shared" si="1"/>
        <v>frm_dados1.cmbPoloDijuntor.text</v>
      </c>
      <c r="D19" s="82" t="s">
        <v>90</v>
      </c>
      <c r="E19" s="82" t="str">
        <f t="shared" si="2"/>
        <v>Public PoloDijuntor as String</v>
      </c>
      <c r="F19" s="82" t="str">
        <f t="shared" si="3"/>
        <v>PoloDijuntor = frm_dados1.cmbPoloDijuntor.text</v>
      </c>
      <c r="G19" s="82" t="str">
        <f t="shared" si="0"/>
        <v xml:space="preserve">frm_dados1.cmbPoloDijuntor.TabIndex = </v>
      </c>
      <c r="H19" s="82"/>
      <c r="I19" s="82" t="str">
        <f t="shared" si="4"/>
        <v>frm_dados1.cmbPoloDijuntor.text = "" OR _</v>
      </c>
      <c r="J19" s="82" t="str">
        <f t="shared" si="5"/>
        <v>frm_dados1.cmbPoloDijuntor.text = PoloDijuntor</v>
      </c>
      <c r="K19" s="82" t="str">
        <f t="shared" si="12"/>
        <v>frm_dados1.cmbPoloDijuntor.AddItem ""</v>
      </c>
      <c r="L19" s="82">
        <f t="shared" si="11"/>
        <v>20</v>
      </c>
      <c r="M19" s="82" t="str">
        <f t="shared" si="6"/>
        <v>Cells(ultm_lin,20).value = PoloDijuntor</v>
      </c>
      <c r="N19" s="82" t="str">
        <f t="shared" si="7"/>
        <v xml:space="preserve">PoloDijuntor = Cells(n,20).value </v>
      </c>
      <c r="O19" s="82" t="str">
        <f t="shared" si="8"/>
        <v>frm_dados1.cmbPoloDijuntor.text = ""</v>
      </c>
      <c r="P19" s="82" t="str">
        <f t="shared" si="9"/>
        <v>frm_dados1.cmbPoloDijuntor.text = "PoloDijuntor"</v>
      </c>
      <c r="Q19" s="82"/>
      <c r="R19" s="82"/>
    </row>
    <row r="20" spans="1:18" x14ac:dyDescent="0.2">
      <c r="A20" s="82" t="s">
        <v>75</v>
      </c>
      <c r="B20" s="82" t="s">
        <v>133</v>
      </c>
      <c r="C20" s="82" t="str">
        <f t="shared" si="1"/>
        <v>frm_dados1.cmbQtdFase.text</v>
      </c>
      <c r="D20" s="82" t="s">
        <v>91</v>
      </c>
      <c r="E20" s="82" t="str">
        <f t="shared" si="2"/>
        <v>Public QtdFase as String</v>
      </c>
      <c r="F20" s="82" t="str">
        <f t="shared" si="3"/>
        <v>QtdFase = frm_dados1.cmbQtdFase.text</v>
      </c>
      <c r="G20" s="82" t="str">
        <f t="shared" si="0"/>
        <v xml:space="preserve">frm_dados1.cmbQtdFase.TabIndex = </v>
      </c>
      <c r="H20" s="82"/>
      <c r="I20" s="82" t="str">
        <f t="shared" si="4"/>
        <v>frm_dados1.cmbQtdFase.text = "" OR _</v>
      </c>
      <c r="J20" s="82" t="str">
        <f t="shared" si="5"/>
        <v>frm_dados1.cmbQtdFase.text = QtdFase</v>
      </c>
      <c r="K20" s="82" t="str">
        <f t="shared" si="12"/>
        <v>frm_dados1.cmbQtdFase.AddItem ""</v>
      </c>
      <c r="L20" s="82">
        <f t="shared" si="11"/>
        <v>21</v>
      </c>
      <c r="M20" s="82" t="str">
        <f t="shared" si="6"/>
        <v>Cells(ultm_lin,21).value = QtdFase</v>
      </c>
      <c r="N20" s="82" t="str">
        <f t="shared" si="7"/>
        <v xml:space="preserve">QtdFase = Cells(n,21).value </v>
      </c>
      <c r="O20" s="82" t="str">
        <f t="shared" si="8"/>
        <v>frm_dados1.cmbQtdFase.text = ""</v>
      </c>
      <c r="P20" s="82" t="str">
        <f t="shared" si="9"/>
        <v>frm_dados1.cmbQtdFase.text = "QtdFase"</v>
      </c>
      <c r="Q20" s="82"/>
      <c r="R20" s="82"/>
    </row>
    <row r="21" spans="1:18" x14ac:dyDescent="0.2">
      <c r="A21" s="82" t="s">
        <v>75</v>
      </c>
      <c r="B21" s="82" t="s">
        <v>134</v>
      </c>
      <c r="C21" s="82" t="str">
        <f t="shared" si="1"/>
        <v>frm_dados1.cmbQtdNeutro.text</v>
      </c>
      <c r="D21" s="82" t="s">
        <v>92</v>
      </c>
      <c r="E21" s="82" t="str">
        <f t="shared" si="2"/>
        <v>Public QtdNeutro as String</v>
      </c>
      <c r="F21" s="82" t="str">
        <f t="shared" si="3"/>
        <v>QtdNeutro = frm_dados1.cmbQtdNeutro.text</v>
      </c>
      <c r="G21" s="82" t="str">
        <f t="shared" si="0"/>
        <v xml:space="preserve">frm_dados1.cmbQtdNeutro.TabIndex = </v>
      </c>
      <c r="H21" s="82"/>
      <c r="I21" s="82" t="str">
        <f t="shared" si="4"/>
        <v>frm_dados1.cmbQtdNeutro.text = "" OR _</v>
      </c>
      <c r="J21" s="82" t="str">
        <f t="shared" si="5"/>
        <v>frm_dados1.cmbQtdNeutro.text = QtdNeutro</v>
      </c>
      <c r="K21" s="82" t="str">
        <f t="shared" si="12"/>
        <v>frm_dados1.cmbQtdNeutro.AddItem ""</v>
      </c>
      <c r="L21" s="82">
        <f t="shared" si="11"/>
        <v>22</v>
      </c>
      <c r="M21" s="82" t="str">
        <f t="shared" si="6"/>
        <v>Cells(ultm_lin,22).value = QtdNeutro</v>
      </c>
      <c r="N21" s="82" t="str">
        <f t="shared" si="7"/>
        <v xml:space="preserve">QtdNeutro = Cells(n,22).value </v>
      </c>
      <c r="O21" s="82" t="str">
        <f t="shared" si="8"/>
        <v>frm_dados1.cmbQtdNeutro.text = ""</v>
      </c>
      <c r="P21" s="82" t="str">
        <f t="shared" si="9"/>
        <v>frm_dados1.cmbQtdNeutro.text = "QtdNeutro"</v>
      </c>
      <c r="Q21" s="82"/>
      <c r="R21" s="82"/>
    </row>
    <row r="22" spans="1:18" x14ac:dyDescent="0.2">
      <c r="A22" s="82" t="s">
        <v>75</v>
      </c>
      <c r="B22" s="82" t="s">
        <v>135</v>
      </c>
      <c r="C22" s="100" t="str">
        <f t="shared" si="1"/>
        <v>frm_dados1.cmbSisIntgrado.text</v>
      </c>
      <c r="D22" s="82" t="s">
        <v>93</v>
      </c>
      <c r="E22" s="82" t="str">
        <f t="shared" si="2"/>
        <v>Public SisIntgrado as String</v>
      </c>
      <c r="F22" s="82" t="str">
        <f t="shared" si="3"/>
        <v>SisIntgrado = frm_dados1.cmbSisIntgrado.text</v>
      </c>
      <c r="G22" s="82" t="str">
        <f t="shared" si="0"/>
        <v xml:space="preserve">frm_dados1.cmbSisIntgrado.TabIndex = </v>
      </c>
      <c r="H22" s="82"/>
      <c r="I22" s="82" t="str">
        <f t="shared" si="4"/>
        <v>frm_dados1.cmbSisIntgrado.text = "" OR _</v>
      </c>
      <c r="J22" s="82" t="str">
        <f t="shared" si="5"/>
        <v>frm_dados1.cmbSisIntgrado.text = SisIntgrado</v>
      </c>
      <c r="K22" s="82" t="str">
        <f t="shared" si="12"/>
        <v>frm_dados1.cmbSisIntgrado.AddItem ""</v>
      </c>
      <c r="L22" s="82">
        <f>L21+1</f>
        <v>23</v>
      </c>
      <c r="M22" s="82" t="str">
        <f t="shared" si="6"/>
        <v>Cells(ultm_lin,23).value = SisIntgrado</v>
      </c>
      <c r="N22" s="82" t="str">
        <f t="shared" si="7"/>
        <v xml:space="preserve">SisIntgrado = Cells(n,23).value </v>
      </c>
      <c r="O22" s="82" t="str">
        <f t="shared" si="8"/>
        <v>frm_dados1.cmbSisIntgrado.text = ""</v>
      </c>
      <c r="P22" s="82" t="str">
        <f t="shared" si="9"/>
        <v>frm_dados1.cmbSisIntgrado.text = "SisIntgrado"</v>
      </c>
      <c r="Q22" s="82"/>
      <c r="R22" s="82"/>
    </row>
    <row r="23" spans="1:18" x14ac:dyDescent="0.2">
      <c r="A23" s="82" t="s">
        <v>75</v>
      </c>
      <c r="B23" s="82" t="s">
        <v>136</v>
      </c>
      <c r="C23" s="82" t="str">
        <f t="shared" si="1"/>
        <v>frm_dados1.cmbTensaoAtend.text</v>
      </c>
      <c r="D23" s="82" t="s">
        <v>94</v>
      </c>
      <c r="E23" s="82" t="str">
        <f t="shared" si="2"/>
        <v>Public TensaoAtend as String</v>
      </c>
      <c r="F23" s="82" t="str">
        <f t="shared" si="3"/>
        <v>TensaoAtend = frm_dados1.cmbTensaoAtend.text</v>
      </c>
      <c r="G23" s="82" t="str">
        <f t="shared" si="0"/>
        <v xml:space="preserve">frm_dados1.cmbTensaoAtend.TabIndex = </v>
      </c>
      <c r="H23" s="82"/>
      <c r="I23" s="82" t="str">
        <f t="shared" si="4"/>
        <v>frm_dados1.cmbTensaoAtend.text = "" OR _</v>
      </c>
      <c r="J23" s="82" t="str">
        <f t="shared" si="5"/>
        <v>frm_dados1.cmbTensaoAtend.text = TensaoAtend</v>
      </c>
      <c r="K23" s="82" t="str">
        <f t="shared" si="12"/>
        <v>frm_dados1.cmbTensaoAtend.AddItem ""</v>
      </c>
      <c r="L23" s="82">
        <f t="shared" si="11"/>
        <v>24</v>
      </c>
      <c r="M23" s="82" t="str">
        <f t="shared" si="6"/>
        <v>Cells(ultm_lin,24).value = TensaoAtend</v>
      </c>
      <c r="N23" s="82" t="str">
        <f t="shared" si="7"/>
        <v xml:space="preserve">TensaoAtend = Cells(n,24).value </v>
      </c>
      <c r="O23" s="82" t="str">
        <f t="shared" si="8"/>
        <v>frm_dados1.cmbTensaoAtend.text = ""</v>
      </c>
      <c r="P23" s="82" t="str">
        <f t="shared" si="9"/>
        <v>frm_dados1.cmbTensaoAtend.text = "TensaoAtend"</v>
      </c>
      <c r="Q23" s="82"/>
      <c r="R23" s="82"/>
    </row>
    <row r="24" spans="1:18" x14ac:dyDescent="0.2">
      <c r="A24" s="82" t="s">
        <v>75</v>
      </c>
      <c r="B24" s="82" t="s">
        <v>137</v>
      </c>
      <c r="C24" s="82" t="str">
        <f t="shared" si="1"/>
        <v>frm_dados1.cmbTipoCaboCA.text</v>
      </c>
      <c r="D24" s="82" t="s">
        <v>95</v>
      </c>
      <c r="E24" s="82" t="str">
        <f t="shared" si="2"/>
        <v>Public TipoCaboCA as String</v>
      </c>
      <c r="F24" s="82" t="str">
        <f t="shared" si="3"/>
        <v>TipoCaboCA = frm_dados1.cmbTipoCaboCA.text</v>
      </c>
      <c r="G24" s="82" t="str">
        <f t="shared" si="0"/>
        <v xml:space="preserve">frm_dados1.cmbTipoCaboCA.TabIndex = </v>
      </c>
      <c r="H24" s="82"/>
      <c r="I24" s="82" t="str">
        <f t="shared" si="4"/>
        <v>frm_dados1.cmbTipoCaboCA.text = "" OR _</v>
      </c>
      <c r="J24" s="82" t="str">
        <f t="shared" si="5"/>
        <v>frm_dados1.cmbTipoCaboCA.text = TipoCaboCA</v>
      </c>
      <c r="K24" s="82" t="str">
        <f t="shared" si="12"/>
        <v>frm_dados1.cmbTipoCaboCA.AddItem ""</v>
      </c>
      <c r="L24" s="82">
        <f t="shared" si="11"/>
        <v>25</v>
      </c>
      <c r="M24" s="82" t="str">
        <f t="shared" si="6"/>
        <v>Cells(ultm_lin,25).value = TipoCaboCA</v>
      </c>
      <c r="N24" s="82" t="str">
        <f t="shared" si="7"/>
        <v xml:space="preserve">TipoCaboCA = Cells(n,25).value </v>
      </c>
      <c r="O24" s="82" t="str">
        <f t="shared" si="8"/>
        <v>frm_dados1.cmbTipoCaboCA.text = ""</v>
      </c>
      <c r="P24" s="82" t="str">
        <f t="shared" si="9"/>
        <v>frm_dados1.cmbTipoCaboCA.text = "TipoCaboCA"</v>
      </c>
      <c r="Q24" s="82"/>
      <c r="R24" s="82"/>
    </row>
    <row r="25" spans="1:18" x14ac:dyDescent="0.2">
      <c r="A25" s="82" t="s">
        <v>75</v>
      </c>
      <c r="B25" s="82" t="s">
        <v>138</v>
      </c>
      <c r="C25" s="82" t="str">
        <f t="shared" si="1"/>
        <v>frm_dados1.cmbTipoCaboPoste.text</v>
      </c>
      <c r="D25" s="82" t="s">
        <v>96</v>
      </c>
      <c r="E25" s="82" t="str">
        <f t="shared" si="2"/>
        <v>Public TipoCaboPoste as String</v>
      </c>
      <c r="F25" s="82" t="str">
        <f t="shared" si="3"/>
        <v>TipoCaboPoste = frm_dados1.cmbTipoCaboPoste.text</v>
      </c>
      <c r="G25" s="82" t="str">
        <f t="shared" si="0"/>
        <v xml:space="preserve">frm_dados1.cmbTipoCaboPoste.TabIndex = </v>
      </c>
      <c r="H25" s="82"/>
      <c r="I25" s="82" t="str">
        <f t="shared" si="4"/>
        <v>frm_dados1.cmbTipoCaboPoste.text = "" OR _</v>
      </c>
      <c r="J25" s="82" t="str">
        <f t="shared" si="5"/>
        <v>frm_dados1.cmbTipoCaboPoste.text = TipoCaboPoste</v>
      </c>
      <c r="K25" s="82" t="str">
        <f t="shared" si="12"/>
        <v>frm_dados1.cmbTipoCaboPoste.AddItem ""</v>
      </c>
      <c r="L25" s="82">
        <f t="shared" si="11"/>
        <v>26</v>
      </c>
      <c r="M25" s="82" t="str">
        <f t="shared" si="6"/>
        <v>Cells(ultm_lin,26).value = TipoCaboPoste</v>
      </c>
      <c r="N25" s="82" t="str">
        <f t="shared" si="7"/>
        <v xml:space="preserve">TipoCaboPoste = Cells(n,26).value </v>
      </c>
      <c r="O25" s="82" t="str">
        <f t="shared" si="8"/>
        <v>frm_dados1.cmbTipoCaboPoste.text = ""</v>
      </c>
      <c r="P25" s="82" t="str">
        <f t="shared" si="9"/>
        <v>frm_dados1.cmbTipoCaboPoste.text = "TipoCaboPoste"</v>
      </c>
      <c r="Q25" s="82"/>
      <c r="R25" s="82"/>
    </row>
    <row r="26" spans="1:18" s="81" customFormat="1" x14ac:dyDescent="0.2">
      <c r="A26" s="82" t="s">
        <v>75</v>
      </c>
      <c r="B26" s="82" t="s">
        <v>139</v>
      </c>
      <c r="C26" s="82" t="str">
        <f t="shared" si="1"/>
        <v>frm_dados1.btnFechar.text</v>
      </c>
      <c r="D26" s="82" t="s">
        <v>112</v>
      </c>
      <c r="E26" s="82" t="str">
        <f t="shared" si="2"/>
        <v>Public Fechar as String</v>
      </c>
      <c r="F26" s="82" t="str">
        <f t="shared" si="3"/>
        <v>Fechar = frm_dados1.btnFechar.text</v>
      </c>
      <c r="G26" s="82" t="str">
        <f t="shared" si="0"/>
        <v xml:space="preserve">frm_dados1.btnFechar.TabIndex = </v>
      </c>
      <c r="H26" s="82"/>
      <c r="I26" s="82"/>
      <c r="J26" s="82"/>
      <c r="K26" s="82"/>
      <c r="L26" s="82"/>
      <c r="M26" s="82"/>
      <c r="N26" s="82"/>
      <c r="O26" s="82" t="str">
        <f t="shared" si="8"/>
        <v>frm_dados1.btnFechar.text = ""</v>
      </c>
      <c r="P26" s="82" t="str">
        <f t="shared" si="9"/>
        <v>frm_dados1.btnFechar.text = "Fechar"</v>
      </c>
      <c r="Q26" s="82"/>
      <c r="R26" s="82"/>
    </row>
    <row r="27" spans="1:18" s="81" customFormat="1" x14ac:dyDescent="0.2">
      <c r="A27" s="82" t="s">
        <v>75</v>
      </c>
      <c r="B27" s="82" t="s">
        <v>157</v>
      </c>
      <c r="C27" s="82" t="str">
        <f t="shared" si="1"/>
        <v>frm_dados1.btnLimparFrm1.text</v>
      </c>
      <c r="D27" s="82" t="s">
        <v>111</v>
      </c>
      <c r="E27" s="82" t="str">
        <f t="shared" si="2"/>
        <v>Public LimparFrm1 as String</v>
      </c>
      <c r="F27" s="82" t="str">
        <f t="shared" si="3"/>
        <v>LimparFrm1 = frm_dados1.btnLimparFrm1.text</v>
      </c>
      <c r="G27" s="82" t="str">
        <f t="shared" si="0"/>
        <v xml:space="preserve">frm_dados1.btnLimparFrm1.TabIndex = </v>
      </c>
      <c r="H27" s="82"/>
      <c r="I27" s="82"/>
      <c r="J27" s="82"/>
      <c r="K27" s="82"/>
      <c r="L27" s="82"/>
      <c r="M27" s="82"/>
      <c r="N27" s="82"/>
      <c r="O27" s="82" t="str">
        <f t="shared" si="8"/>
        <v>frm_dados1.btnLimparFrm1.text = ""</v>
      </c>
      <c r="P27" s="82" t="str">
        <f t="shared" si="9"/>
        <v>frm_dados1.btnLimparFrm1.text = "LimparFrm1"</v>
      </c>
      <c r="Q27" s="82"/>
      <c r="R27" s="82"/>
    </row>
    <row r="28" spans="1:18" s="81" customFormat="1" x14ac:dyDescent="0.2">
      <c r="A28" s="82" t="s">
        <v>75</v>
      </c>
      <c r="B28" s="82" t="s">
        <v>140</v>
      </c>
      <c r="C28" s="82" t="str">
        <f t="shared" si="1"/>
        <v>frm_dados1.btnProximaTela.text</v>
      </c>
      <c r="D28" s="82" t="s">
        <v>113</v>
      </c>
      <c r="E28" s="82" t="str">
        <f t="shared" si="2"/>
        <v>Public ProximaTela as String</v>
      </c>
      <c r="F28" s="82" t="str">
        <f t="shared" si="3"/>
        <v>ProximaTela = frm_dados1.btnProximaTela.text</v>
      </c>
      <c r="G28" s="82" t="str">
        <f t="shared" si="0"/>
        <v xml:space="preserve">frm_dados1.btnProximaTela.TabIndex = </v>
      </c>
      <c r="H28" s="82"/>
      <c r="I28" s="82"/>
      <c r="J28" s="82"/>
      <c r="K28" s="82"/>
      <c r="L28" s="82"/>
      <c r="M28" s="82"/>
      <c r="N28" s="82"/>
      <c r="O28" s="82" t="str">
        <f t="shared" si="8"/>
        <v>frm_dados1.btnProximaTela.text = ""</v>
      </c>
      <c r="P28" s="82" t="str">
        <f t="shared" si="9"/>
        <v>frm_dados1.btnProximaTela.text = "ProximaTela"</v>
      </c>
      <c r="Q28" s="82"/>
      <c r="R28" s="82"/>
    </row>
    <row r="29" spans="1:18" x14ac:dyDescent="0.2">
      <c r="A29" s="82" t="s">
        <v>76</v>
      </c>
      <c r="B29" s="82" t="s">
        <v>141</v>
      </c>
      <c r="C29" s="82" t="str">
        <f t="shared" si="1"/>
        <v>frm_dados2.txtMarcaInversor.text</v>
      </c>
      <c r="D29" s="82" t="s">
        <v>97</v>
      </c>
      <c r="E29" s="82" t="str">
        <f t="shared" si="2"/>
        <v>Public MarcaInversor as String</v>
      </c>
      <c r="F29" s="82" t="str">
        <f t="shared" si="3"/>
        <v>MarcaInversor = frm_dados2.txtMarcaInversor.text</v>
      </c>
      <c r="G29" s="82" t="str">
        <f t="shared" si="0"/>
        <v xml:space="preserve">frm_dados2.txtMarcaInversor.TabIndex = </v>
      </c>
      <c r="H29" s="82"/>
      <c r="I29" s="82" t="str">
        <f>C29&amp;" = """" OR _"</f>
        <v>frm_dados2.txtMarcaInversor.text = "" OR _</v>
      </c>
      <c r="J29" s="82" t="str">
        <f>C29&amp;" = "&amp;D29</f>
        <v>frm_dados2.txtMarcaInversor.text = MarcaInversor</v>
      </c>
      <c r="K29" s="82"/>
      <c r="L29" s="82">
        <v>27</v>
      </c>
      <c r="M29" s="82" t="str">
        <f t="shared" ref="M29:M39" si="13">"Cells(ultm_lin,"&amp;L29&amp;").value = "&amp;D29</f>
        <v>Cells(ultm_lin,27).value = MarcaInversor</v>
      </c>
      <c r="N29" s="82" t="str">
        <f t="shared" ref="N29:N39" si="14">D29 &amp; " = Cells(n,"&amp;L29&amp;").value "</f>
        <v xml:space="preserve">MarcaInversor = Cells(n,27).value </v>
      </c>
      <c r="O29" s="82" t="str">
        <f t="shared" si="8"/>
        <v>frm_dados2.txtMarcaInversor.text = ""</v>
      </c>
      <c r="P29" s="82" t="str">
        <f t="shared" si="9"/>
        <v>frm_dados2.txtMarcaInversor.text = "MarcaInversor"</v>
      </c>
      <c r="Q29" s="82" t="str">
        <f t="shared" ref="Q29:Q37" si="15">D29&amp;" = """""</f>
        <v>MarcaInversor = ""</v>
      </c>
      <c r="R29" s="82"/>
    </row>
    <row r="30" spans="1:18" x14ac:dyDescent="0.2">
      <c r="A30" s="82" t="s">
        <v>76</v>
      </c>
      <c r="B30" s="82" t="s">
        <v>142</v>
      </c>
      <c r="C30" s="82" t="str">
        <f t="shared" si="1"/>
        <v>frm_dados2.txtMarcaModulo.text</v>
      </c>
      <c r="D30" s="82" t="s">
        <v>98</v>
      </c>
      <c r="E30" s="82" t="str">
        <f t="shared" si="2"/>
        <v>Public MarcaModulo as String</v>
      </c>
      <c r="F30" s="82" t="str">
        <f t="shared" si="3"/>
        <v>MarcaModulo = frm_dados2.txtMarcaModulo.text</v>
      </c>
      <c r="G30" s="82" t="str">
        <f t="shared" si="0"/>
        <v xml:space="preserve">frm_dados2.txtMarcaModulo.TabIndex = </v>
      </c>
      <c r="H30" s="82"/>
      <c r="I30" s="82" t="str">
        <f t="shared" ref="I30:I39" si="16">C30&amp;" = """" OR _"</f>
        <v>frm_dados2.txtMarcaModulo.text = "" OR _</v>
      </c>
      <c r="J30" s="82" t="str">
        <f t="shared" ref="J30:J39" si="17">C30&amp;" = "&amp;D30</f>
        <v>frm_dados2.txtMarcaModulo.text = MarcaModulo</v>
      </c>
      <c r="K30" s="82"/>
      <c r="L30" s="82">
        <f t="shared" si="11"/>
        <v>28</v>
      </c>
      <c r="M30" s="82" t="str">
        <f t="shared" si="13"/>
        <v>Cells(ultm_lin,28).value = MarcaModulo</v>
      </c>
      <c r="N30" s="82" t="str">
        <f t="shared" si="14"/>
        <v xml:space="preserve">MarcaModulo = Cells(n,28).value </v>
      </c>
      <c r="O30" s="82" t="str">
        <f t="shared" si="8"/>
        <v>frm_dados2.txtMarcaModulo.text = ""</v>
      </c>
      <c r="P30" s="82" t="str">
        <f t="shared" si="9"/>
        <v>frm_dados2.txtMarcaModulo.text = "MarcaModulo"</v>
      </c>
      <c r="Q30" s="82" t="str">
        <f t="shared" si="15"/>
        <v>MarcaModulo = ""</v>
      </c>
      <c r="R30" s="82"/>
    </row>
    <row r="31" spans="1:18" x14ac:dyDescent="0.2">
      <c r="A31" s="82" t="s">
        <v>76</v>
      </c>
      <c r="B31" s="82" t="s">
        <v>143</v>
      </c>
      <c r="C31" s="82" t="str">
        <f t="shared" si="1"/>
        <v>frm_dados2.txtModeloInversor.text</v>
      </c>
      <c r="D31" s="82" t="s">
        <v>99</v>
      </c>
      <c r="E31" s="82" t="str">
        <f t="shared" si="2"/>
        <v>Public ModeloInversor as String</v>
      </c>
      <c r="F31" s="82" t="str">
        <f t="shared" si="3"/>
        <v>ModeloInversor = frm_dados2.txtModeloInversor.text</v>
      </c>
      <c r="G31" s="82" t="str">
        <f t="shared" si="0"/>
        <v xml:space="preserve">frm_dados2.txtModeloInversor.TabIndex = </v>
      </c>
      <c r="H31" s="82"/>
      <c r="I31" s="82" t="str">
        <f t="shared" si="16"/>
        <v>frm_dados2.txtModeloInversor.text = "" OR _</v>
      </c>
      <c r="J31" s="82" t="str">
        <f t="shared" si="17"/>
        <v>frm_dados2.txtModeloInversor.text = ModeloInversor</v>
      </c>
      <c r="K31" s="82"/>
      <c r="L31" s="82">
        <f t="shared" si="11"/>
        <v>29</v>
      </c>
      <c r="M31" s="82" t="str">
        <f t="shared" si="13"/>
        <v>Cells(ultm_lin,29).value = ModeloInversor</v>
      </c>
      <c r="N31" s="82" t="str">
        <f t="shared" si="14"/>
        <v xml:space="preserve">ModeloInversor = Cells(n,29).value </v>
      </c>
      <c r="O31" s="82" t="str">
        <f t="shared" si="8"/>
        <v>frm_dados2.txtModeloInversor.text = ""</v>
      </c>
      <c r="P31" s="82" t="str">
        <f t="shared" si="9"/>
        <v>frm_dados2.txtModeloInversor.text = "ModeloInversor"</v>
      </c>
      <c r="Q31" s="82" t="str">
        <f t="shared" si="15"/>
        <v>ModeloInversor = ""</v>
      </c>
      <c r="R31" s="82"/>
    </row>
    <row r="32" spans="1:18" x14ac:dyDescent="0.2">
      <c r="A32" s="82" t="s">
        <v>76</v>
      </c>
      <c r="B32" s="82" t="s">
        <v>144</v>
      </c>
      <c r="C32" s="82" t="str">
        <f t="shared" si="1"/>
        <v>frm_dados2.txtModeloModulo.text</v>
      </c>
      <c r="D32" s="82" t="s">
        <v>100</v>
      </c>
      <c r="E32" s="82" t="str">
        <f t="shared" si="2"/>
        <v>Public ModeloModulo as String</v>
      </c>
      <c r="F32" s="82" t="str">
        <f t="shared" si="3"/>
        <v>ModeloModulo = frm_dados2.txtModeloModulo.text</v>
      </c>
      <c r="G32" s="82" t="str">
        <f t="shared" si="0"/>
        <v xml:space="preserve">frm_dados2.txtModeloModulo.TabIndex = </v>
      </c>
      <c r="H32" s="82"/>
      <c r="I32" s="82" t="str">
        <f t="shared" si="16"/>
        <v>frm_dados2.txtModeloModulo.text = "" OR _</v>
      </c>
      <c r="J32" s="82" t="str">
        <f t="shared" si="17"/>
        <v>frm_dados2.txtModeloModulo.text = ModeloModulo</v>
      </c>
      <c r="K32" s="82"/>
      <c r="L32" s="82">
        <f t="shared" si="11"/>
        <v>30</v>
      </c>
      <c r="M32" s="82" t="str">
        <f t="shared" si="13"/>
        <v>Cells(ultm_lin,30).value = ModeloModulo</v>
      </c>
      <c r="N32" s="82" t="str">
        <f t="shared" si="14"/>
        <v xml:space="preserve">ModeloModulo = Cells(n,30).value </v>
      </c>
      <c r="O32" s="82" t="str">
        <f t="shared" si="8"/>
        <v>frm_dados2.txtModeloModulo.text = ""</v>
      </c>
      <c r="P32" s="82" t="str">
        <f t="shared" si="9"/>
        <v>frm_dados2.txtModeloModulo.text = "ModeloModulo"</v>
      </c>
      <c r="Q32" s="82" t="str">
        <f t="shared" si="15"/>
        <v>ModeloModulo = ""</v>
      </c>
      <c r="R32" s="82"/>
    </row>
    <row r="33" spans="1:18" x14ac:dyDescent="0.2">
      <c r="A33" s="82" t="s">
        <v>76</v>
      </c>
      <c r="B33" s="82" t="s">
        <v>145</v>
      </c>
      <c r="C33" s="82" t="str">
        <f t="shared" si="1"/>
        <v>frm_dados2.txtPotenciaGer.text</v>
      </c>
      <c r="D33" s="82" t="s">
        <v>101</v>
      </c>
      <c r="E33" s="82" t="str">
        <f t="shared" si="2"/>
        <v>Public PotenciaGer as String</v>
      </c>
      <c r="F33" s="82" t="str">
        <f t="shared" si="3"/>
        <v>PotenciaGer = frm_dados2.txtPotenciaGer.text</v>
      </c>
      <c r="G33" s="82" t="str">
        <f t="shared" si="0"/>
        <v xml:space="preserve">frm_dados2.txtPotenciaGer.TabIndex = </v>
      </c>
      <c r="H33" s="82"/>
      <c r="I33" s="82" t="str">
        <f t="shared" si="16"/>
        <v>frm_dados2.txtPotenciaGer.text = "" OR _</v>
      </c>
      <c r="J33" s="82" t="str">
        <f t="shared" si="17"/>
        <v>frm_dados2.txtPotenciaGer.text = PotenciaGer</v>
      </c>
      <c r="K33" s="82"/>
      <c r="L33" s="82">
        <f t="shared" si="11"/>
        <v>31</v>
      </c>
      <c r="M33" s="82" t="str">
        <f t="shared" si="13"/>
        <v>Cells(ultm_lin,31).value = PotenciaGer</v>
      </c>
      <c r="N33" s="82" t="str">
        <f t="shared" si="14"/>
        <v xml:space="preserve">PotenciaGer = Cells(n,31).value </v>
      </c>
      <c r="O33" s="82" t="str">
        <f t="shared" si="8"/>
        <v>frm_dados2.txtPotenciaGer.text = ""</v>
      </c>
      <c r="P33" s="82" t="str">
        <f t="shared" si="9"/>
        <v>frm_dados2.txtPotenciaGer.text = "PotenciaGer"</v>
      </c>
      <c r="Q33" s="82" t="str">
        <f t="shared" si="15"/>
        <v>PotenciaGer = ""</v>
      </c>
      <c r="R33" s="82"/>
    </row>
    <row r="34" spans="1:18" x14ac:dyDescent="0.2">
      <c r="A34" s="82" t="s">
        <v>76</v>
      </c>
      <c r="B34" s="82" t="s">
        <v>146</v>
      </c>
      <c r="C34" s="82" t="str">
        <f t="shared" si="1"/>
        <v>frm_dados2.txtPotenciaInversor.text</v>
      </c>
      <c r="D34" s="82" t="s">
        <v>102</v>
      </c>
      <c r="E34" s="82" t="str">
        <f t="shared" si="2"/>
        <v>Public PotenciaInversor as String</v>
      </c>
      <c r="F34" s="82" t="str">
        <f t="shared" si="3"/>
        <v>PotenciaInversor = frm_dados2.txtPotenciaInversor.text</v>
      </c>
      <c r="G34" s="82" t="str">
        <f t="shared" si="0"/>
        <v xml:space="preserve">frm_dados2.txtPotenciaInversor.TabIndex = </v>
      </c>
      <c r="H34" s="82"/>
      <c r="I34" s="82" t="str">
        <f t="shared" si="16"/>
        <v>frm_dados2.txtPotenciaInversor.text = "" OR _</v>
      </c>
      <c r="J34" s="82" t="str">
        <f t="shared" si="17"/>
        <v>frm_dados2.txtPotenciaInversor.text = PotenciaInversor</v>
      </c>
      <c r="K34" s="82"/>
      <c r="L34" s="82">
        <f t="shared" si="11"/>
        <v>32</v>
      </c>
      <c r="M34" s="82" t="str">
        <f t="shared" si="13"/>
        <v>Cells(ultm_lin,32).value = PotenciaInversor</v>
      </c>
      <c r="N34" s="82" t="str">
        <f t="shared" si="14"/>
        <v xml:space="preserve">PotenciaInversor = Cells(n,32).value </v>
      </c>
      <c r="O34" s="82" t="str">
        <f t="shared" si="8"/>
        <v>frm_dados2.txtPotenciaInversor.text = ""</v>
      </c>
      <c r="P34" s="82" t="str">
        <f t="shared" si="9"/>
        <v>frm_dados2.txtPotenciaInversor.text = "PotenciaInversor"</v>
      </c>
      <c r="Q34" s="82" t="str">
        <f t="shared" si="15"/>
        <v>PotenciaInversor = ""</v>
      </c>
      <c r="R34" s="82"/>
    </row>
    <row r="35" spans="1:18" x14ac:dyDescent="0.2">
      <c r="A35" s="82" t="s">
        <v>76</v>
      </c>
      <c r="B35" s="82" t="s">
        <v>147</v>
      </c>
      <c r="C35" s="82" t="str">
        <f t="shared" si="1"/>
        <v>frm_dados2.txtPotenciaModulo.text</v>
      </c>
      <c r="D35" s="82" t="s">
        <v>103</v>
      </c>
      <c r="E35" s="82" t="str">
        <f t="shared" si="2"/>
        <v>Public PotenciaModulo as String</v>
      </c>
      <c r="F35" s="82" t="str">
        <f t="shared" si="3"/>
        <v>PotenciaModulo = frm_dados2.txtPotenciaModulo.text</v>
      </c>
      <c r="G35" s="82" t="str">
        <f t="shared" si="0"/>
        <v xml:space="preserve">frm_dados2.txtPotenciaModulo.TabIndex = </v>
      </c>
      <c r="H35" s="82"/>
      <c r="I35" s="82" t="str">
        <f t="shared" si="16"/>
        <v>frm_dados2.txtPotenciaModulo.text = "" OR _</v>
      </c>
      <c r="J35" s="82" t="str">
        <f t="shared" si="17"/>
        <v>frm_dados2.txtPotenciaModulo.text = PotenciaModulo</v>
      </c>
      <c r="K35" s="82"/>
      <c r="L35" s="82">
        <f t="shared" si="11"/>
        <v>33</v>
      </c>
      <c r="M35" s="82" t="str">
        <f t="shared" si="13"/>
        <v>Cells(ultm_lin,33).value = PotenciaModulo</v>
      </c>
      <c r="N35" s="82" t="str">
        <f t="shared" si="14"/>
        <v xml:space="preserve">PotenciaModulo = Cells(n,33).value </v>
      </c>
      <c r="O35" s="82" t="str">
        <f t="shared" si="8"/>
        <v>frm_dados2.txtPotenciaModulo.text = ""</v>
      </c>
      <c r="P35" s="82" t="str">
        <f t="shared" si="9"/>
        <v>frm_dados2.txtPotenciaModulo.text = "PotenciaModulo"</v>
      </c>
      <c r="Q35" s="82" t="str">
        <f t="shared" si="15"/>
        <v>PotenciaModulo = ""</v>
      </c>
      <c r="R35" s="82"/>
    </row>
    <row r="36" spans="1:18" x14ac:dyDescent="0.2">
      <c r="A36" s="82" t="s">
        <v>76</v>
      </c>
      <c r="B36" s="82" t="s">
        <v>148</v>
      </c>
      <c r="C36" s="82" t="str">
        <f t="shared" si="1"/>
        <v>frm_dados2.txtQtdInversor.text</v>
      </c>
      <c r="D36" s="82" t="s">
        <v>104</v>
      </c>
      <c r="E36" s="82" t="str">
        <f t="shared" si="2"/>
        <v>Public QtdInversor as String</v>
      </c>
      <c r="F36" s="82" t="str">
        <f t="shared" si="3"/>
        <v>QtdInversor = frm_dados2.txtQtdInversor.text</v>
      </c>
      <c r="G36" s="82" t="str">
        <f t="shared" si="0"/>
        <v xml:space="preserve">frm_dados2.txtQtdInversor.TabIndex = </v>
      </c>
      <c r="H36" s="82"/>
      <c r="I36" s="82" t="str">
        <f t="shared" si="16"/>
        <v>frm_dados2.txtQtdInversor.text = "" OR _</v>
      </c>
      <c r="J36" s="82" t="str">
        <f t="shared" si="17"/>
        <v>frm_dados2.txtQtdInversor.text = QtdInversor</v>
      </c>
      <c r="K36" s="82"/>
      <c r="L36" s="82">
        <f t="shared" si="11"/>
        <v>34</v>
      </c>
      <c r="M36" s="82" t="str">
        <f t="shared" si="13"/>
        <v>Cells(ultm_lin,34).value = QtdInversor</v>
      </c>
      <c r="N36" s="82" t="str">
        <f t="shared" si="14"/>
        <v xml:space="preserve">QtdInversor = Cells(n,34).value </v>
      </c>
      <c r="O36" s="82" t="str">
        <f t="shared" si="8"/>
        <v>frm_dados2.txtQtdInversor.text = ""</v>
      </c>
      <c r="P36" s="82" t="str">
        <f t="shared" si="9"/>
        <v>frm_dados2.txtQtdInversor.text = "QtdInversor"</v>
      </c>
      <c r="Q36" s="82" t="str">
        <f t="shared" si="15"/>
        <v>QtdInversor = ""</v>
      </c>
      <c r="R36" s="82"/>
    </row>
    <row r="37" spans="1:18" x14ac:dyDescent="0.2">
      <c r="A37" s="82" t="s">
        <v>76</v>
      </c>
      <c r="B37" s="82" t="s">
        <v>149</v>
      </c>
      <c r="C37" s="82" t="str">
        <f t="shared" si="1"/>
        <v>frm_dados2.txtQtdModulo.text</v>
      </c>
      <c r="D37" s="82" t="s">
        <v>105</v>
      </c>
      <c r="E37" s="82" t="str">
        <f t="shared" si="2"/>
        <v>Public QtdModulo as String</v>
      </c>
      <c r="F37" s="82" t="str">
        <f t="shared" si="3"/>
        <v>QtdModulo = frm_dados2.txtQtdModulo.text</v>
      </c>
      <c r="G37" s="82" t="str">
        <f t="shared" si="0"/>
        <v xml:space="preserve">frm_dados2.txtQtdModulo.TabIndex = </v>
      </c>
      <c r="H37" s="82"/>
      <c r="I37" s="82" t="str">
        <f t="shared" si="16"/>
        <v>frm_dados2.txtQtdModulo.text = "" OR _</v>
      </c>
      <c r="J37" s="82" t="str">
        <f t="shared" si="17"/>
        <v>frm_dados2.txtQtdModulo.text = QtdModulo</v>
      </c>
      <c r="K37" s="82"/>
      <c r="L37" s="82">
        <f t="shared" si="11"/>
        <v>35</v>
      </c>
      <c r="M37" s="82" t="str">
        <f t="shared" si="13"/>
        <v>Cells(ultm_lin,35).value = QtdModulo</v>
      </c>
      <c r="N37" s="82" t="str">
        <f t="shared" si="14"/>
        <v xml:space="preserve">QtdModulo = Cells(n,35).value </v>
      </c>
      <c r="O37" s="82" t="str">
        <f t="shared" si="8"/>
        <v>frm_dados2.txtQtdModulo.text = ""</v>
      </c>
      <c r="P37" s="82" t="str">
        <f t="shared" si="9"/>
        <v>frm_dados2.txtQtdModulo.text = "QtdModulo"</v>
      </c>
      <c r="Q37" s="82" t="str">
        <f t="shared" si="15"/>
        <v>QtdModulo = ""</v>
      </c>
      <c r="R37" s="82"/>
    </row>
    <row r="38" spans="1:18" x14ac:dyDescent="0.2">
      <c r="A38" s="82" t="s">
        <v>76</v>
      </c>
      <c r="B38" s="82" t="s">
        <v>150</v>
      </c>
      <c r="C38" s="82" t="str">
        <f t="shared" si="1"/>
        <v>frm_dados2.cmbNroEntrada.text</v>
      </c>
      <c r="D38" s="82" t="s">
        <v>106</v>
      </c>
      <c r="E38" s="82" t="str">
        <f t="shared" si="2"/>
        <v>Public NroEntrada as String</v>
      </c>
      <c r="F38" s="82" t="str">
        <f t="shared" si="3"/>
        <v>NroEntrada = frm_dados2.cmbNroEntrada.text</v>
      </c>
      <c r="G38" s="82" t="str">
        <f t="shared" si="0"/>
        <v xml:space="preserve">frm_dados2.cmbNroEntrada.TabIndex = </v>
      </c>
      <c r="H38" s="82"/>
      <c r="I38" s="82" t="str">
        <f t="shared" si="16"/>
        <v>frm_dados2.cmbNroEntrada.text = "" OR _</v>
      </c>
      <c r="J38" s="82" t="str">
        <f t="shared" si="17"/>
        <v>frm_dados2.cmbNroEntrada.text = NroEntrada</v>
      </c>
      <c r="K38" s="82" t="str">
        <f>B38&amp;".AddItem """""</f>
        <v>frm_dados2.cmbNroEntrada.AddItem ""</v>
      </c>
      <c r="L38" s="82">
        <f t="shared" si="11"/>
        <v>36</v>
      </c>
      <c r="M38" s="82" t="str">
        <f t="shared" si="13"/>
        <v>Cells(ultm_lin,36).value = NroEntrada</v>
      </c>
      <c r="N38" s="82" t="str">
        <f t="shared" si="14"/>
        <v xml:space="preserve">NroEntrada = Cells(n,36).value </v>
      </c>
      <c r="O38" s="82" t="str">
        <f t="shared" si="8"/>
        <v>frm_dados2.cmbNroEntrada.text = ""</v>
      </c>
      <c r="P38" s="82" t="str">
        <f t="shared" si="9"/>
        <v>frm_dados2.cmbNroEntrada.text = "NroEntrada"</v>
      </c>
      <c r="Q38" s="82"/>
      <c r="R38" s="82"/>
    </row>
    <row r="39" spans="1:18" x14ac:dyDescent="0.2">
      <c r="A39" s="82" t="s">
        <v>76</v>
      </c>
      <c r="B39" s="82" t="s">
        <v>151</v>
      </c>
      <c r="C39" s="82" t="str">
        <f t="shared" si="1"/>
        <v>frm_dados2.cmbNroMppt.text</v>
      </c>
      <c r="D39" s="82" t="s">
        <v>107</v>
      </c>
      <c r="E39" s="82" t="str">
        <f t="shared" si="2"/>
        <v>Public NroMppt as String</v>
      </c>
      <c r="F39" s="82" t="str">
        <f t="shared" si="3"/>
        <v>NroMppt = frm_dados2.cmbNroMppt.text</v>
      </c>
      <c r="G39" s="82" t="str">
        <f t="shared" si="0"/>
        <v xml:space="preserve">frm_dados2.cmbNroMppt.TabIndex = </v>
      </c>
      <c r="H39" s="82"/>
      <c r="I39" s="82" t="str">
        <f t="shared" si="16"/>
        <v>frm_dados2.cmbNroMppt.text = "" OR _</v>
      </c>
      <c r="J39" s="82" t="str">
        <f t="shared" si="17"/>
        <v>frm_dados2.cmbNroMppt.text = NroMppt</v>
      </c>
      <c r="K39" s="82" t="str">
        <f>B39&amp;".AddItem """""</f>
        <v>frm_dados2.cmbNroMppt.AddItem ""</v>
      </c>
      <c r="L39" s="82">
        <f t="shared" si="11"/>
        <v>37</v>
      </c>
      <c r="M39" s="82" t="str">
        <f t="shared" si="13"/>
        <v>Cells(ultm_lin,37).value = NroMppt</v>
      </c>
      <c r="N39" s="82" t="str">
        <f t="shared" si="14"/>
        <v xml:space="preserve">NroMppt = Cells(n,37).value </v>
      </c>
      <c r="O39" s="82" t="str">
        <f t="shared" si="8"/>
        <v>frm_dados2.cmbNroMppt.text = ""</v>
      </c>
      <c r="P39" s="82" t="str">
        <f t="shared" si="9"/>
        <v>frm_dados2.cmbNroMppt.text = "NroMppt"</v>
      </c>
      <c r="Q39" s="82"/>
      <c r="R39" s="82"/>
    </row>
    <row r="40" spans="1:18" x14ac:dyDescent="0.2">
      <c r="A40" s="82" t="s">
        <v>76</v>
      </c>
      <c r="B40" s="82" t="s">
        <v>152</v>
      </c>
      <c r="C40" s="82" t="str">
        <f t="shared" si="1"/>
        <v>frm_dados2.btnGeraPDF.text</v>
      </c>
      <c r="D40" s="82" t="s">
        <v>108</v>
      </c>
      <c r="E40" s="82" t="str">
        <f t="shared" si="2"/>
        <v>Public GeraPDF as String</v>
      </c>
      <c r="F40" s="82" t="str">
        <f t="shared" si="3"/>
        <v>GeraPDF = frm_dados2.btnGeraPDF.text</v>
      </c>
      <c r="G40" s="82" t="str">
        <f t="shared" si="0"/>
        <v xml:space="preserve">frm_dados2.btnGeraPDF.TabIndex = </v>
      </c>
      <c r="H40" s="82"/>
      <c r="I40" s="82"/>
      <c r="J40" s="82"/>
      <c r="K40" s="82"/>
      <c r="L40" s="82"/>
      <c r="M40" s="82"/>
      <c r="N40" s="82"/>
      <c r="O40" s="82" t="str">
        <f t="shared" si="8"/>
        <v>frm_dados2.btnGeraPDF.text = ""</v>
      </c>
      <c r="P40" s="82" t="str">
        <f t="shared" si="9"/>
        <v>frm_dados2.btnGeraPDF.text = "GeraPDF"</v>
      </c>
      <c r="Q40" s="82"/>
      <c r="R40" s="82"/>
    </row>
    <row r="41" spans="1:18" x14ac:dyDescent="0.2">
      <c r="A41" s="82" t="s">
        <v>76</v>
      </c>
      <c r="B41" s="82" t="s">
        <v>153</v>
      </c>
      <c r="C41" s="82" t="str">
        <f t="shared" si="1"/>
        <v>frm_dados2.btnLimparfrm_dados2.text</v>
      </c>
      <c r="D41" s="82" t="s">
        <v>109</v>
      </c>
      <c r="E41" s="82" t="str">
        <f t="shared" si="2"/>
        <v>Public LimparFrm2 as String</v>
      </c>
      <c r="F41" s="82" t="str">
        <f t="shared" si="3"/>
        <v>LimparFrm2 = frm_dados2.btnLimparfrm_dados2.text</v>
      </c>
      <c r="G41" s="82" t="str">
        <f t="shared" si="0"/>
        <v xml:space="preserve">frm_dados2.btnLimparfrm_dados2.TabIndex = </v>
      </c>
      <c r="H41" s="82"/>
      <c r="I41" s="82"/>
      <c r="J41" s="82"/>
      <c r="K41" s="82"/>
      <c r="L41" s="82"/>
      <c r="M41" s="82"/>
      <c r="N41" s="82"/>
      <c r="O41" s="82" t="str">
        <f t="shared" si="8"/>
        <v>frm_dados2.btnLimparfrm_dados2.text = ""</v>
      </c>
      <c r="P41" s="82" t="str">
        <f t="shared" si="9"/>
        <v>frm_dados2.btnLimparfrm_dados2.text = "LimparFrm2"</v>
      </c>
      <c r="Q41" s="82"/>
      <c r="R41" s="82"/>
    </row>
    <row r="42" spans="1:18" x14ac:dyDescent="0.2">
      <c r="A42" s="82" t="s">
        <v>76</v>
      </c>
      <c r="B42" s="82" t="s">
        <v>154</v>
      </c>
      <c r="C42" s="82" t="str">
        <f t="shared" si="1"/>
        <v>frm_dados2.btnVoltarFrm.text</v>
      </c>
      <c r="D42" s="82" t="s">
        <v>110</v>
      </c>
      <c r="E42" s="82" t="str">
        <f t="shared" si="2"/>
        <v>Public VoltarFrm as String</v>
      </c>
      <c r="F42" s="82" t="str">
        <f t="shared" si="3"/>
        <v>VoltarFrm = frm_dados2.btnVoltarFrm.text</v>
      </c>
      <c r="G42" s="82" t="str">
        <f t="shared" si="0"/>
        <v xml:space="preserve">frm_dados2.btnVoltarFrm.TabIndex = </v>
      </c>
      <c r="H42" s="82"/>
      <c r="I42" s="82"/>
      <c r="J42" s="82"/>
      <c r="K42" s="82"/>
      <c r="L42" s="82"/>
      <c r="M42" s="82"/>
      <c r="N42" s="82"/>
      <c r="O42" s="82" t="str">
        <f t="shared" si="8"/>
        <v>frm_dados2.btnVoltarFrm.text = ""</v>
      </c>
      <c r="P42" s="82" t="str">
        <f t="shared" si="9"/>
        <v>frm_dados2.btnVoltarFrm.text = "VoltarFrm"</v>
      </c>
      <c r="Q42" s="82"/>
      <c r="R42" s="82"/>
    </row>
    <row r="43" spans="1:18" x14ac:dyDescent="0.2">
      <c r="A43" s="82" t="s">
        <v>75</v>
      </c>
      <c r="B43" s="82" t="s">
        <v>167</v>
      </c>
      <c r="C43" s="82" t="str">
        <f t="shared" si="1"/>
        <v>frm_dados1.cmbQtdNeutroCA.text</v>
      </c>
      <c r="D43" s="82" t="s">
        <v>166</v>
      </c>
      <c r="E43" s="82" t="str">
        <f t="shared" si="2"/>
        <v>Public QtdNeutroCA as String</v>
      </c>
      <c r="F43" s="82" t="str">
        <f>D43&amp;" = "&amp;C43</f>
        <v>QtdNeutroCA = frm_dados1.cmbQtdNeutroCA.text</v>
      </c>
      <c r="G43" s="82" t="str">
        <f>B43&amp;".TabIndex = "&amp;H43</f>
        <v xml:space="preserve">frm_dados1.cmbQtdNeutroCA.TabIndex = </v>
      </c>
      <c r="H43" s="82"/>
      <c r="I43" s="82" t="str">
        <f>C43&amp;" = """" OR _"</f>
        <v>frm_dados1.cmbQtdNeutroCA.text = "" OR _</v>
      </c>
      <c r="J43" s="82" t="str">
        <f>C43&amp;" = "&amp;D43</f>
        <v>frm_dados1.cmbQtdNeutroCA.text = QtdNeutroCA</v>
      </c>
      <c r="K43" s="82" t="str">
        <f>B43&amp;".AddItem """""</f>
        <v>frm_dados1.cmbQtdNeutroCA.AddItem ""</v>
      </c>
      <c r="L43" s="82">
        <v>38</v>
      </c>
      <c r="M43" s="82" t="str">
        <f t="shared" ref="M43:M47" si="18">"Cells(ultm_lin,"&amp;L43&amp;").value = "&amp;D43</f>
        <v>Cells(ultm_lin,38).value = QtdNeutroCA</v>
      </c>
      <c r="N43" s="82" t="str">
        <f t="shared" ref="N43:N47" si="19">D43 &amp; " = Cells(n,"&amp;L43&amp;").value "</f>
        <v xml:space="preserve">QtdNeutroCA = Cells(n,38).value </v>
      </c>
      <c r="O43" s="82" t="str">
        <f t="shared" si="8"/>
        <v>frm_dados1.cmbQtdNeutroCA.text = ""</v>
      </c>
      <c r="P43" s="82" t="str">
        <f t="shared" si="9"/>
        <v>frm_dados1.cmbQtdNeutroCA.text = "QtdNeutroCA"</v>
      </c>
      <c r="Q43" s="82"/>
      <c r="R43" s="82"/>
    </row>
    <row r="44" spans="1:18" x14ac:dyDescent="0.2">
      <c r="A44" s="82" t="s">
        <v>75</v>
      </c>
      <c r="B44" s="82" t="s">
        <v>168</v>
      </c>
      <c r="C44" s="82" t="str">
        <f>B44&amp;".text"</f>
        <v>frm_dados1.cmbProjetista.text</v>
      </c>
      <c r="D44" s="82" t="s">
        <v>22</v>
      </c>
      <c r="E44" s="82" t="str">
        <f>"Public "&amp;D44&amp;" as String"</f>
        <v>Public Projetista as String</v>
      </c>
      <c r="F44" s="82" t="str">
        <f>D44&amp;" = "&amp;C44</f>
        <v>Projetista = frm_dados1.cmbProjetista.text</v>
      </c>
      <c r="G44" s="82" t="str">
        <f>B44&amp;".TabIndex = "&amp;H44</f>
        <v xml:space="preserve">frm_dados1.cmbProjetista.TabIndex = </v>
      </c>
      <c r="H44" s="82"/>
      <c r="I44" s="82" t="str">
        <f>C44&amp;" = """" OR _"</f>
        <v>frm_dados1.cmbProjetista.text = "" OR _</v>
      </c>
      <c r="J44" s="82" t="str">
        <f>C44&amp;" = "&amp;D44</f>
        <v>frm_dados1.cmbProjetista.text = Projetista</v>
      </c>
      <c r="K44" s="82" t="str">
        <f>B44&amp;".AddItem """""</f>
        <v>frm_dados1.cmbProjetista.AddItem ""</v>
      </c>
      <c r="L44" s="82">
        <v>39</v>
      </c>
      <c r="M44" s="82" t="str">
        <f t="shared" si="18"/>
        <v>Cells(ultm_lin,39).value = Projetista</v>
      </c>
      <c r="N44" s="82" t="str">
        <f t="shared" si="19"/>
        <v xml:space="preserve">Projetista = Cells(n,39).value </v>
      </c>
      <c r="O44" s="82" t="str">
        <f t="shared" si="8"/>
        <v>frm_dados1.cmbProjetista.text = ""</v>
      </c>
      <c r="P44" s="82" t="str">
        <f t="shared" si="9"/>
        <v>frm_dados1.cmbProjetista.text = "Projetista"</v>
      </c>
      <c r="Q44" s="82"/>
      <c r="R44" s="82"/>
    </row>
    <row r="45" spans="1:18" x14ac:dyDescent="0.2">
      <c r="A45" s="82" t="s">
        <v>75</v>
      </c>
      <c r="B45" s="82" t="s">
        <v>174</v>
      </c>
      <c r="C45" s="82" t="str">
        <f>B45&amp;".text"</f>
        <v>frm_dados1.txtcodigoProjeto.text</v>
      </c>
      <c r="D45" s="82" t="s">
        <v>175</v>
      </c>
      <c r="E45" s="82" t="str">
        <f>"Public "&amp;D45&amp;" as String"</f>
        <v>Public codigoProjeto as String</v>
      </c>
      <c r="F45" s="82" t="str">
        <f>D45&amp;" = "&amp;C45</f>
        <v>codigoProjeto = frm_dados1.txtcodigoProjeto.text</v>
      </c>
      <c r="G45" s="82" t="str">
        <f>B45&amp;".TabIndex = "&amp;H45</f>
        <v xml:space="preserve">frm_dados1.txtcodigoProjeto.TabIndex = </v>
      </c>
      <c r="H45" s="82"/>
      <c r="I45" s="82" t="str">
        <f>C45&amp;" = """" OR _"</f>
        <v>frm_dados1.txtcodigoProjeto.text = "" OR _</v>
      </c>
      <c r="J45" s="82" t="str">
        <f>C45&amp;" = "&amp;D45</f>
        <v>frm_dados1.txtcodigoProjeto.text = codigoProjeto</v>
      </c>
      <c r="K45" s="82" t="str">
        <f>B45&amp;".AddItem """""</f>
        <v>frm_dados1.txtcodigoProjeto.AddItem ""</v>
      </c>
      <c r="L45" s="82">
        <v>40</v>
      </c>
      <c r="M45" s="82" t="str">
        <f t="shared" si="18"/>
        <v>Cells(ultm_lin,40).value = codigoProjeto</v>
      </c>
      <c r="N45" s="82" t="str">
        <f t="shared" si="19"/>
        <v xml:space="preserve">codigoProjeto = Cells(n,40).value </v>
      </c>
      <c r="O45" s="82" t="str">
        <f t="shared" ref="O45:O54" si="20">C45&amp;" = """""</f>
        <v>frm_dados1.txtcodigoProjeto.text = ""</v>
      </c>
      <c r="P45" s="82" t="str">
        <f t="shared" si="9"/>
        <v>frm_dados1.txtcodigoProjeto.text = "codigoProjeto"</v>
      </c>
      <c r="Q45" s="82" t="str">
        <f>D45&amp;" = """""</f>
        <v>codigoProjeto = ""</v>
      </c>
      <c r="R45" s="82"/>
    </row>
    <row r="46" spans="1:18" x14ac:dyDescent="0.2">
      <c r="A46" s="82" t="s">
        <v>76</v>
      </c>
      <c r="B46" s="82" t="s">
        <v>177</v>
      </c>
      <c r="C46" s="82" t="str">
        <f>B46&amp;".text"</f>
        <v>frm_dados2.cmbTipoInversor.text</v>
      </c>
      <c r="D46" s="82" t="s">
        <v>176</v>
      </c>
      <c r="E46" s="82" t="str">
        <f>"Public "&amp;D46&amp;" as String"</f>
        <v>Public TipoInversor as String</v>
      </c>
      <c r="F46" s="82" t="str">
        <f>D46&amp;" = "&amp;C46</f>
        <v>TipoInversor = frm_dados2.cmbTipoInversor.text</v>
      </c>
      <c r="G46" s="82" t="str">
        <f>B46&amp;".TabIndex = "&amp;H46</f>
        <v xml:space="preserve">frm_dados2.cmbTipoInversor.TabIndex = </v>
      </c>
      <c r="H46" s="82"/>
      <c r="I46" s="82" t="str">
        <f>C46&amp;" = """" OR _"</f>
        <v>frm_dados2.cmbTipoInversor.text = "" OR _</v>
      </c>
      <c r="J46" s="82" t="str">
        <f>C46&amp;" = "&amp;D46</f>
        <v>frm_dados2.cmbTipoInversor.text = TipoInversor</v>
      </c>
      <c r="K46" s="82" t="str">
        <f>B46&amp;".AddItem """""</f>
        <v>frm_dados2.cmbTipoInversor.AddItem ""</v>
      </c>
      <c r="L46" s="82">
        <v>41</v>
      </c>
      <c r="M46" s="82" t="str">
        <f t="shared" si="18"/>
        <v>Cells(ultm_lin,41).value = TipoInversor</v>
      </c>
      <c r="N46" s="82" t="str">
        <f t="shared" si="19"/>
        <v xml:space="preserve">TipoInversor = Cells(n,41).value </v>
      </c>
      <c r="O46" s="82" t="str">
        <f t="shared" si="20"/>
        <v>frm_dados2.cmbTipoInversor.text = ""</v>
      </c>
      <c r="P46" s="82" t="str">
        <f t="shared" si="9"/>
        <v>frm_dados2.cmbTipoInversor.text = "TipoInversor"</v>
      </c>
      <c r="Q46" s="82"/>
      <c r="R46" s="82"/>
    </row>
    <row r="47" spans="1:18" x14ac:dyDescent="0.2">
      <c r="A47" s="82" t="s">
        <v>75</v>
      </c>
      <c r="B47" s="82"/>
      <c r="C47" s="82"/>
      <c r="D47" s="82" t="s">
        <v>180</v>
      </c>
      <c r="E47" s="82"/>
      <c r="F47" s="82"/>
      <c r="G47" s="82"/>
      <c r="H47" s="82"/>
      <c r="I47" s="82"/>
      <c r="J47" s="82"/>
      <c r="K47" s="82"/>
      <c r="L47" s="82">
        <v>42</v>
      </c>
      <c r="M47" s="82" t="str">
        <f t="shared" si="18"/>
        <v>Cells(ultm_lin,42).value = id_usuario</v>
      </c>
      <c r="N47" s="82" t="str">
        <f t="shared" si="19"/>
        <v xml:space="preserve">id_usuario = Cells(n,42).value </v>
      </c>
      <c r="O47" s="82" t="str">
        <f t="shared" si="20"/>
        <v xml:space="preserve"> = ""</v>
      </c>
      <c r="P47" s="82" t="str">
        <f t="shared" si="9"/>
        <v xml:space="preserve"> = "id_usuario"</v>
      </c>
      <c r="Q47" s="82" t="str">
        <f t="shared" ref="Q47:Q54" si="21">D47&amp;" = """""</f>
        <v>id_usuario = ""</v>
      </c>
      <c r="R47" s="82"/>
    </row>
    <row r="48" spans="1:18" x14ac:dyDescent="0.2">
      <c r="A48" s="98" t="s">
        <v>75</v>
      </c>
      <c r="B48" s="98" t="s">
        <v>299</v>
      </c>
      <c r="C48" s="99" t="str">
        <f t="shared" ref="C48:C63" si="22">B48&amp;".text"</f>
        <v>frm_dados1.CmbdpsIntegrado.text</v>
      </c>
      <c r="D48" s="82" t="s">
        <v>184</v>
      </c>
      <c r="E48" s="82" t="str">
        <f>"Public "&amp;D48&amp;" as String"</f>
        <v>Public dpsIntegrado  as String</v>
      </c>
      <c r="F48" s="82" t="str">
        <f>D48&amp;" = "&amp;C48</f>
        <v>dpsIntegrado  = frm_dados1.CmbdpsIntegrado.text</v>
      </c>
      <c r="G48" s="82" t="str">
        <f t="shared" ref="G48" si="23">B48&amp;".TabIndex = "&amp;H48</f>
        <v xml:space="preserve">frm_dados1.CmbdpsIntegrado.TabIndex = </v>
      </c>
      <c r="H48" s="82"/>
      <c r="I48" s="82" t="str">
        <f>C48&amp;" = """" OR _"</f>
        <v>frm_dados1.CmbdpsIntegrado.text = "" OR _</v>
      </c>
      <c r="J48" s="82" t="str">
        <f>C48&amp;" = "&amp;D48</f>
        <v xml:space="preserve">frm_dados1.CmbdpsIntegrado.text = dpsIntegrado </v>
      </c>
      <c r="K48" s="82"/>
      <c r="L48" s="82">
        <f>L47+1</f>
        <v>43</v>
      </c>
      <c r="M48" s="82" t="str">
        <f>"Cells(ultm_lin,"&amp;L48&amp;").value = "&amp;D48</f>
        <v xml:space="preserve">Cells(ultm_lin,43).value = dpsIntegrado </v>
      </c>
      <c r="N48" s="82" t="str">
        <f>D48 &amp; " = Cells(n,"&amp;L48&amp;").value "</f>
        <v xml:space="preserve">dpsIntegrado  = Cells(n,43).value </v>
      </c>
      <c r="O48" s="82" t="str">
        <f>C48&amp;" = """""</f>
        <v>frm_dados1.CmbdpsIntegrado.text = ""</v>
      </c>
      <c r="P48" s="82" t="str">
        <f>C48&amp;" = """&amp;D48&amp;""""</f>
        <v>frm_dados1.CmbdpsIntegrado.text = "dpsIntegrado "</v>
      </c>
      <c r="Q48" s="82" t="str">
        <f>D48&amp;" = """""</f>
        <v>dpsIntegrado  = ""</v>
      </c>
      <c r="R48" s="82"/>
    </row>
    <row r="49" spans="1:18" x14ac:dyDescent="0.2">
      <c r="A49" s="82" t="s">
        <v>76</v>
      </c>
      <c r="B49" s="82" t="s">
        <v>186</v>
      </c>
      <c r="C49" s="82" t="str">
        <f t="shared" si="22"/>
        <v>frm_dados2.txtEntrada1.text</v>
      </c>
      <c r="D49" s="82" t="s">
        <v>190</v>
      </c>
      <c r="E49" s="82" t="str">
        <f t="shared" ref="E49:E56" si="24">"Public "&amp;D49&amp;" as Integer"</f>
        <v>Public qtdEntrada1 as Integer</v>
      </c>
      <c r="F49" s="82" t="str">
        <f t="shared" ref="F49:F54" si="25">D49&amp;" = "&amp;C49</f>
        <v>qtdEntrada1 = frm_dados2.txtEntrada1.text</v>
      </c>
      <c r="G49" s="82" t="str">
        <f t="shared" ref="G49:G54" si="26">B49&amp;".TabIndex = "&amp;H49</f>
        <v xml:space="preserve">frm_dados2.txtEntrada1.TabIndex = </v>
      </c>
      <c r="H49" s="82"/>
      <c r="I49" s="82" t="str">
        <f t="shared" ref="I49:I54" si="27">C49&amp;" = """" OR _"</f>
        <v>frm_dados2.txtEntrada1.text = "" OR _</v>
      </c>
      <c r="J49" s="82" t="str">
        <f t="shared" ref="J49:J54" si="28">C49&amp;" = "&amp;D49</f>
        <v>frm_dados2.txtEntrada1.text = qtdEntrada1</v>
      </c>
      <c r="K49" s="82"/>
      <c r="L49" s="82">
        <f t="shared" ref="L49:L63" si="29">L48+1</f>
        <v>44</v>
      </c>
      <c r="M49" s="82" t="str">
        <f t="shared" ref="M49:M54" si="30">"Cells(ultm_lin,"&amp;L49&amp;").value = "&amp;D49</f>
        <v>Cells(ultm_lin,44).value = qtdEntrada1</v>
      </c>
      <c r="N49" s="82" t="str">
        <f t="shared" ref="N49:N54" si="31">D49 &amp; " = Cells(n,"&amp;L49&amp;").value "</f>
        <v xml:space="preserve">qtdEntrada1 = Cells(n,44).value </v>
      </c>
      <c r="O49" s="82" t="str">
        <f t="shared" si="20"/>
        <v>frm_dados2.txtEntrada1.text = ""</v>
      </c>
      <c r="P49" s="82" t="str">
        <f t="shared" si="9"/>
        <v>frm_dados2.txtEntrada1.text = "qtdEntrada1"</v>
      </c>
      <c r="Q49" s="82" t="str">
        <f t="shared" si="21"/>
        <v>qtdEntrada1 = ""</v>
      </c>
      <c r="R49" s="82"/>
    </row>
    <row r="50" spans="1:18" x14ac:dyDescent="0.2">
      <c r="A50" s="82" t="s">
        <v>76</v>
      </c>
      <c r="B50" s="82" t="s">
        <v>187</v>
      </c>
      <c r="C50" s="82" t="str">
        <f t="shared" si="22"/>
        <v>frm_dados2.txtEntrada2.text</v>
      </c>
      <c r="D50" s="82" t="s">
        <v>191</v>
      </c>
      <c r="E50" s="82" t="str">
        <f t="shared" si="24"/>
        <v>Public qtdEntrada2 as Integer</v>
      </c>
      <c r="F50" s="82" t="str">
        <f t="shared" si="25"/>
        <v>qtdEntrada2 = frm_dados2.txtEntrada2.text</v>
      </c>
      <c r="G50" s="82" t="str">
        <f t="shared" si="26"/>
        <v xml:space="preserve">frm_dados2.txtEntrada2.TabIndex = </v>
      </c>
      <c r="H50" s="82"/>
      <c r="I50" s="82" t="str">
        <f t="shared" si="27"/>
        <v>frm_dados2.txtEntrada2.text = "" OR _</v>
      </c>
      <c r="J50" s="82" t="str">
        <f t="shared" si="28"/>
        <v>frm_dados2.txtEntrada2.text = qtdEntrada2</v>
      </c>
      <c r="K50" s="82"/>
      <c r="L50" s="82">
        <f t="shared" si="29"/>
        <v>45</v>
      </c>
      <c r="M50" s="82" t="str">
        <f t="shared" si="30"/>
        <v>Cells(ultm_lin,45).value = qtdEntrada2</v>
      </c>
      <c r="N50" s="82" t="str">
        <f t="shared" si="31"/>
        <v xml:space="preserve">qtdEntrada2 = Cells(n,45).value </v>
      </c>
      <c r="O50" s="82" t="str">
        <f t="shared" si="20"/>
        <v>frm_dados2.txtEntrada2.text = ""</v>
      </c>
      <c r="P50" s="82" t="str">
        <f t="shared" si="9"/>
        <v>frm_dados2.txtEntrada2.text = "qtdEntrada2"</v>
      </c>
      <c r="Q50" s="82" t="str">
        <f t="shared" si="21"/>
        <v>qtdEntrada2 = ""</v>
      </c>
      <c r="R50" s="82"/>
    </row>
    <row r="51" spans="1:18" x14ac:dyDescent="0.2">
      <c r="A51" s="82" t="s">
        <v>76</v>
      </c>
      <c r="B51" s="82" t="s">
        <v>188</v>
      </c>
      <c r="C51" s="82" t="str">
        <f t="shared" si="22"/>
        <v>frm_dados2.txtEntrada3.text</v>
      </c>
      <c r="D51" s="82" t="s">
        <v>192</v>
      </c>
      <c r="E51" s="82" t="str">
        <f t="shared" si="24"/>
        <v>Public qtdEntrada3 as Integer</v>
      </c>
      <c r="F51" s="82" t="str">
        <f t="shared" si="25"/>
        <v>qtdEntrada3 = frm_dados2.txtEntrada3.text</v>
      </c>
      <c r="G51" s="82" t="str">
        <f t="shared" si="26"/>
        <v xml:space="preserve">frm_dados2.txtEntrada3.TabIndex = </v>
      </c>
      <c r="H51" s="82"/>
      <c r="I51" s="82" t="str">
        <f t="shared" si="27"/>
        <v>frm_dados2.txtEntrada3.text = "" OR _</v>
      </c>
      <c r="J51" s="82" t="str">
        <f t="shared" si="28"/>
        <v>frm_dados2.txtEntrada3.text = qtdEntrada3</v>
      </c>
      <c r="K51" s="82"/>
      <c r="L51" s="82">
        <f t="shared" si="29"/>
        <v>46</v>
      </c>
      <c r="M51" s="82" t="str">
        <f t="shared" si="30"/>
        <v>Cells(ultm_lin,46).value = qtdEntrada3</v>
      </c>
      <c r="N51" s="82" t="str">
        <f t="shared" si="31"/>
        <v xml:space="preserve">qtdEntrada3 = Cells(n,46).value </v>
      </c>
      <c r="O51" s="82" t="str">
        <f t="shared" si="20"/>
        <v>frm_dados2.txtEntrada3.text = ""</v>
      </c>
      <c r="P51" s="82" t="str">
        <f t="shared" si="9"/>
        <v>frm_dados2.txtEntrada3.text = "qtdEntrada3"</v>
      </c>
      <c r="Q51" s="82" t="str">
        <f t="shared" si="21"/>
        <v>qtdEntrada3 = ""</v>
      </c>
      <c r="R51" s="82"/>
    </row>
    <row r="52" spans="1:18" x14ac:dyDescent="0.2">
      <c r="A52" s="82" t="s">
        <v>76</v>
      </c>
      <c r="B52" s="82" t="s">
        <v>189</v>
      </c>
      <c r="C52" s="82" t="str">
        <f t="shared" si="22"/>
        <v>frm_dados2.txtEntrada4.text</v>
      </c>
      <c r="D52" s="82" t="s">
        <v>193</v>
      </c>
      <c r="E52" s="82" t="str">
        <f t="shared" si="24"/>
        <v>Public qtdEntrada4 as Integer</v>
      </c>
      <c r="F52" s="82" t="str">
        <f t="shared" si="25"/>
        <v>qtdEntrada4 = frm_dados2.txtEntrada4.text</v>
      </c>
      <c r="G52" s="82" t="str">
        <f t="shared" si="26"/>
        <v xml:space="preserve">frm_dados2.txtEntrada4.TabIndex = </v>
      </c>
      <c r="H52" s="82"/>
      <c r="I52" s="82" t="str">
        <f t="shared" si="27"/>
        <v>frm_dados2.txtEntrada4.text = "" OR _</v>
      </c>
      <c r="J52" s="82" t="str">
        <f t="shared" si="28"/>
        <v>frm_dados2.txtEntrada4.text = qtdEntrada4</v>
      </c>
      <c r="K52" s="82"/>
      <c r="L52" s="82">
        <f t="shared" si="29"/>
        <v>47</v>
      </c>
      <c r="M52" s="82" t="str">
        <f t="shared" si="30"/>
        <v>Cells(ultm_lin,47).value = qtdEntrada4</v>
      </c>
      <c r="N52" s="82" t="str">
        <f t="shared" si="31"/>
        <v xml:space="preserve">qtdEntrada4 = Cells(n,47).value </v>
      </c>
      <c r="O52" s="82" t="str">
        <f t="shared" si="20"/>
        <v>frm_dados2.txtEntrada4.text = ""</v>
      </c>
      <c r="P52" s="82" t="str">
        <f t="shared" si="9"/>
        <v>frm_dados2.txtEntrada4.text = "qtdEntrada4"</v>
      </c>
      <c r="Q52" s="82" t="str">
        <f t="shared" si="21"/>
        <v>qtdEntrada4 = ""</v>
      </c>
      <c r="R52" s="82"/>
    </row>
    <row r="53" spans="1:18" s="78" customFormat="1" x14ac:dyDescent="0.2">
      <c r="A53" s="82" t="s">
        <v>75</v>
      </c>
      <c r="B53" s="82" t="s">
        <v>199</v>
      </c>
      <c r="C53" s="82" t="str">
        <f t="shared" si="22"/>
        <v>frm_dados1.txtCorrenteDpsCC_Max.text</v>
      </c>
      <c r="D53" s="82" t="s">
        <v>201</v>
      </c>
      <c r="E53" s="82" t="str">
        <f t="shared" si="24"/>
        <v>Public CorrenteDpsCC_Max as Integer</v>
      </c>
      <c r="F53" s="82" t="str">
        <f t="shared" si="25"/>
        <v>CorrenteDpsCC_Max = frm_dados1.txtCorrenteDpsCC_Max.text</v>
      </c>
      <c r="G53" s="82" t="str">
        <f t="shared" si="26"/>
        <v xml:space="preserve">frm_dados1.txtCorrenteDpsCC_Max.TabIndex = </v>
      </c>
      <c r="H53" s="82"/>
      <c r="I53" s="82" t="str">
        <f t="shared" si="27"/>
        <v>frm_dados1.txtCorrenteDpsCC_Max.text = "" OR _</v>
      </c>
      <c r="J53" s="82" t="str">
        <f t="shared" si="28"/>
        <v>frm_dados1.txtCorrenteDpsCC_Max.text = CorrenteDpsCC_Max</v>
      </c>
      <c r="K53" s="82"/>
      <c r="L53" s="82">
        <f t="shared" si="29"/>
        <v>48</v>
      </c>
      <c r="M53" s="82" t="str">
        <f t="shared" si="30"/>
        <v>Cells(ultm_lin,48).value = CorrenteDpsCC_Max</v>
      </c>
      <c r="N53" s="82" t="str">
        <f t="shared" si="31"/>
        <v xml:space="preserve">CorrenteDpsCC_Max = Cells(n,48).value </v>
      </c>
      <c r="O53" s="82" t="str">
        <f t="shared" si="20"/>
        <v>frm_dados1.txtCorrenteDpsCC_Max.text = ""</v>
      </c>
      <c r="P53" s="82" t="str">
        <f t="shared" si="9"/>
        <v>frm_dados1.txtCorrenteDpsCC_Max.text = "CorrenteDpsCC_Max"</v>
      </c>
      <c r="Q53" s="82" t="str">
        <f t="shared" si="21"/>
        <v>CorrenteDpsCC_Max = ""</v>
      </c>
      <c r="R53" s="82"/>
    </row>
    <row r="54" spans="1:18" s="78" customFormat="1" x14ac:dyDescent="0.2">
      <c r="A54" s="82" t="s">
        <v>75</v>
      </c>
      <c r="B54" s="82" t="s">
        <v>200</v>
      </c>
      <c r="C54" s="82" t="str">
        <f t="shared" si="22"/>
        <v>frm_dados1.txtCorrenteDpsCA_Max.text</v>
      </c>
      <c r="D54" s="82" t="s">
        <v>202</v>
      </c>
      <c r="E54" s="82" t="str">
        <f t="shared" si="24"/>
        <v>Public CorrenteDpsCA_Max as Integer</v>
      </c>
      <c r="F54" s="82" t="str">
        <f t="shared" si="25"/>
        <v>CorrenteDpsCA_Max = frm_dados1.txtCorrenteDpsCA_Max.text</v>
      </c>
      <c r="G54" s="82" t="str">
        <f t="shared" si="26"/>
        <v xml:space="preserve">frm_dados1.txtCorrenteDpsCA_Max.TabIndex = </v>
      </c>
      <c r="H54" s="82"/>
      <c r="I54" s="82" t="str">
        <f t="shared" si="27"/>
        <v>frm_dados1.txtCorrenteDpsCA_Max.text = "" OR _</v>
      </c>
      <c r="J54" s="82" t="str">
        <f t="shared" si="28"/>
        <v>frm_dados1.txtCorrenteDpsCA_Max.text = CorrenteDpsCA_Max</v>
      </c>
      <c r="K54" s="82"/>
      <c r="L54" s="82">
        <f t="shared" si="29"/>
        <v>49</v>
      </c>
      <c r="M54" s="82" t="str">
        <f t="shared" si="30"/>
        <v>Cells(ultm_lin,49).value = CorrenteDpsCA_Max</v>
      </c>
      <c r="N54" s="82" t="str">
        <f t="shared" si="31"/>
        <v xml:space="preserve">CorrenteDpsCA_Max = Cells(n,49).value </v>
      </c>
      <c r="O54" s="82" t="str">
        <f t="shared" si="20"/>
        <v>frm_dados1.txtCorrenteDpsCA_Max.text = ""</v>
      </c>
      <c r="P54" s="82" t="str">
        <f t="shared" si="9"/>
        <v>frm_dados1.txtCorrenteDpsCA_Max.text = "CorrenteDpsCA_Max"</v>
      </c>
      <c r="Q54" s="82" t="str">
        <f t="shared" si="21"/>
        <v>CorrenteDpsCA_Max = ""</v>
      </c>
      <c r="R54" s="82"/>
    </row>
    <row r="55" spans="1:18" x14ac:dyDescent="0.2">
      <c r="A55" s="82" t="s">
        <v>75</v>
      </c>
      <c r="B55" s="82" t="s">
        <v>211</v>
      </c>
      <c r="C55" s="82" t="str">
        <f t="shared" si="22"/>
        <v>frm_dados1.txtTensaoDPScc.text</v>
      </c>
      <c r="D55" s="82" t="s">
        <v>212</v>
      </c>
      <c r="E55" s="82" t="str">
        <f t="shared" si="24"/>
        <v>Public TensaoDPScc as Integer</v>
      </c>
      <c r="F55" s="82" t="str">
        <f t="shared" ref="F55:F56" si="32">D55&amp;" = "&amp;C55</f>
        <v>TensaoDPScc = frm_dados1.txtTensaoDPScc.text</v>
      </c>
      <c r="G55" s="82" t="str">
        <f t="shared" ref="G55" si="33">B55&amp;".TabIndex = "&amp;H55</f>
        <v xml:space="preserve">frm_dados1.txtTensaoDPScc.TabIndex = </v>
      </c>
      <c r="H55" s="82"/>
      <c r="I55" s="82" t="str">
        <f t="shared" ref="I55" si="34">C55&amp;" = """" OR _"</f>
        <v>frm_dados1.txtTensaoDPScc.text = "" OR _</v>
      </c>
      <c r="J55" s="82" t="str">
        <f t="shared" ref="J55" si="35">C55&amp;" = "&amp;D55</f>
        <v>frm_dados1.txtTensaoDPScc.text = TensaoDPScc</v>
      </c>
      <c r="K55" s="82"/>
      <c r="L55" s="82">
        <f t="shared" si="29"/>
        <v>50</v>
      </c>
      <c r="M55" s="82" t="str">
        <f t="shared" ref="M55" si="36">"Cells(ultm_lin,"&amp;L55&amp;").value = "&amp;D55</f>
        <v>Cells(ultm_lin,50).value = TensaoDPScc</v>
      </c>
      <c r="N55" s="82" t="str">
        <f t="shared" ref="N55" si="37">D55 &amp; " = Cells(n,"&amp;L55&amp;").value "</f>
        <v xml:space="preserve">TensaoDPScc = Cells(n,50).value </v>
      </c>
      <c r="O55" s="82" t="str">
        <f t="shared" ref="O55" si="38">C55&amp;" = """""</f>
        <v>frm_dados1.txtTensaoDPScc.text = ""</v>
      </c>
      <c r="P55" s="82" t="str">
        <f t="shared" ref="P55" si="39">C55&amp;" = """&amp;D55&amp;""""</f>
        <v>frm_dados1.txtTensaoDPScc.text = "TensaoDPScc"</v>
      </c>
      <c r="Q55" s="82" t="str">
        <f t="shared" ref="Q55" si="40">D55&amp;" = """""</f>
        <v>TensaoDPScc = ""</v>
      </c>
      <c r="R55" s="82"/>
    </row>
    <row r="56" spans="1:18" x14ac:dyDescent="0.2">
      <c r="A56" s="82" t="s">
        <v>75</v>
      </c>
      <c r="B56" s="82" t="s">
        <v>237</v>
      </c>
      <c r="C56" s="82" t="str">
        <f t="shared" si="22"/>
        <v>frm_dados1.txtTensaoDPSca.text</v>
      </c>
      <c r="D56" s="82" t="s">
        <v>236</v>
      </c>
      <c r="E56" s="82" t="str">
        <f t="shared" si="24"/>
        <v>Public TensaoDPSca as Integer</v>
      </c>
      <c r="F56" s="82" t="str">
        <f t="shared" si="32"/>
        <v>TensaoDPSca = frm_dados1.txtTensaoDPSca.text</v>
      </c>
      <c r="G56" s="82" t="str">
        <f t="shared" ref="G56" si="41">B56&amp;".TabIndex = "&amp;H56</f>
        <v xml:space="preserve">frm_dados1.txtTensaoDPSca.TabIndex = </v>
      </c>
      <c r="H56" s="82"/>
      <c r="I56" s="82" t="str">
        <f t="shared" ref="I56" si="42">C56&amp;" = """" OR _"</f>
        <v>frm_dados1.txtTensaoDPSca.text = "" OR _</v>
      </c>
      <c r="J56" s="82" t="str">
        <f t="shared" ref="J56" si="43">C56&amp;" = "&amp;D56</f>
        <v>frm_dados1.txtTensaoDPSca.text = TensaoDPSca</v>
      </c>
      <c r="K56" s="82"/>
      <c r="L56" s="82">
        <f t="shared" si="29"/>
        <v>51</v>
      </c>
      <c r="M56" s="82" t="str">
        <f t="shared" ref="M56" si="44">"Cells(ultm_lin,"&amp;L56&amp;").value = "&amp;D56</f>
        <v>Cells(ultm_lin,51).value = TensaoDPSca</v>
      </c>
      <c r="N56" s="82" t="str">
        <f t="shared" ref="N56" si="45">D56 &amp; " = Cells(n,"&amp;L56&amp;").value "</f>
        <v xml:space="preserve">TensaoDPSca = Cells(n,51).value </v>
      </c>
      <c r="O56" s="82" t="str">
        <f t="shared" ref="O56" si="46">C56&amp;" = """""</f>
        <v>frm_dados1.txtTensaoDPSca.text = ""</v>
      </c>
      <c r="P56" s="82" t="str">
        <f t="shared" ref="P56" si="47">C56&amp;" = """&amp;D56&amp;""""</f>
        <v>frm_dados1.txtTensaoDPSca.text = "TensaoDPSca"</v>
      </c>
      <c r="Q56" s="82" t="str">
        <f t="shared" ref="Q56" si="48">D56&amp;" = """""</f>
        <v>TensaoDPSca = ""</v>
      </c>
      <c r="R56" s="78"/>
    </row>
    <row r="57" spans="1:18" x14ac:dyDescent="0.2">
      <c r="A57" s="78" t="s">
        <v>76</v>
      </c>
      <c r="B57" s="78" t="s">
        <v>281</v>
      </c>
      <c r="C57" s="82" t="str">
        <f t="shared" si="22"/>
        <v>frm_dados2.cmbDiametroCaboModulo.text</v>
      </c>
      <c r="D57" s="78" t="s">
        <v>275</v>
      </c>
      <c r="E57" s="82" t="str">
        <f t="shared" ref="E57:E62" si="49">"Public "&amp;D57&amp;" as Integer"</f>
        <v>Public DiametroCaboModulo as Integer</v>
      </c>
      <c r="F57" s="82" t="str">
        <f t="shared" ref="F57:F62" si="50">D57&amp;" = "&amp;C57</f>
        <v>DiametroCaboModulo = frm_dados2.cmbDiametroCaboModulo.text</v>
      </c>
      <c r="G57" s="82" t="str">
        <f t="shared" ref="G57:G63" si="51">B57&amp;".TabIndex = "&amp;H57</f>
        <v xml:space="preserve">frm_dados2.cmbDiametroCaboModulo.TabIndex = </v>
      </c>
      <c r="H57" s="82"/>
      <c r="I57" s="82" t="str">
        <f t="shared" ref="I57:I62" si="52">C57&amp;" = """" OR _"</f>
        <v>frm_dados2.cmbDiametroCaboModulo.text = "" OR _</v>
      </c>
      <c r="J57" s="82" t="str">
        <f t="shared" ref="J57:J62" si="53">C57&amp;" = "&amp;D57</f>
        <v>frm_dados2.cmbDiametroCaboModulo.text = DiametroCaboModulo</v>
      </c>
      <c r="K57" s="82"/>
      <c r="L57" s="82">
        <f t="shared" si="29"/>
        <v>52</v>
      </c>
      <c r="M57" s="82" t="str">
        <f t="shared" ref="M57:M62" si="54">"Cells(ultm_lin,"&amp;L57&amp;").value = "&amp;D57</f>
        <v>Cells(ultm_lin,52).value = DiametroCaboModulo</v>
      </c>
      <c r="N57" s="82" t="str">
        <f t="shared" ref="N57:N62" si="55">D57 &amp; " = Cells(n,"&amp;L57&amp;").value "</f>
        <v xml:space="preserve">DiametroCaboModulo = Cells(n,52).value </v>
      </c>
      <c r="O57" s="82" t="str">
        <f t="shared" ref="O57:O62" si="56">C57&amp;" = """""</f>
        <v>frm_dados2.cmbDiametroCaboModulo.text = ""</v>
      </c>
      <c r="P57" s="82" t="str">
        <f t="shared" ref="P57:P62" si="57">C57&amp;" = """&amp;D57&amp;""""</f>
        <v>frm_dados2.cmbDiametroCaboModulo.text = "DiametroCaboModulo"</v>
      </c>
      <c r="Q57" s="82" t="str">
        <f t="shared" ref="Q57:Q62" si="58">D57&amp;" = """""</f>
        <v>DiametroCaboModulo = ""</v>
      </c>
      <c r="R57" s="78"/>
    </row>
    <row r="58" spans="1:18" x14ac:dyDescent="0.2">
      <c r="A58" s="82" t="s">
        <v>75</v>
      </c>
      <c r="B58" s="78" t="s">
        <v>282</v>
      </c>
      <c r="C58" s="82" t="str">
        <f t="shared" si="22"/>
        <v>frm_dados1.cmbSelecDpsPoste.text</v>
      </c>
      <c r="D58" s="78" t="s">
        <v>276</v>
      </c>
      <c r="E58" s="82" t="str">
        <f t="shared" si="49"/>
        <v>Public SelecDpsPoste as Integer</v>
      </c>
      <c r="F58" s="82" t="str">
        <f t="shared" si="50"/>
        <v>SelecDpsPoste = frm_dados1.cmbSelecDpsPoste.text</v>
      </c>
      <c r="G58" s="82" t="str">
        <f t="shared" si="51"/>
        <v xml:space="preserve">frm_dados1.cmbSelecDpsPoste.TabIndex = </v>
      </c>
      <c r="H58" s="82"/>
      <c r="I58" s="82" t="str">
        <f t="shared" si="52"/>
        <v>frm_dados1.cmbSelecDpsPoste.text = "" OR _</v>
      </c>
      <c r="J58" s="82" t="str">
        <f t="shared" si="53"/>
        <v>frm_dados1.cmbSelecDpsPoste.text = SelecDpsPoste</v>
      </c>
      <c r="K58" s="82"/>
      <c r="L58" s="82">
        <f t="shared" si="29"/>
        <v>53</v>
      </c>
      <c r="M58" s="82" t="str">
        <f t="shared" si="54"/>
        <v>Cells(ultm_lin,53).value = SelecDpsPoste</v>
      </c>
      <c r="N58" s="82" t="str">
        <f t="shared" si="55"/>
        <v xml:space="preserve">SelecDpsPoste = Cells(n,53).value </v>
      </c>
      <c r="O58" s="82" t="str">
        <f t="shared" si="56"/>
        <v>frm_dados1.cmbSelecDpsPoste.text = ""</v>
      </c>
      <c r="P58" s="82" t="str">
        <f t="shared" si="57"/>
        <v>frm_dados1.cmbSelecDpsPoste.text = "SelecDpsPoste"</v>
      </c>
      <c r="Q58" s="82" t="str">
        <f t="shared" si="58"/>
        <v>SelecDpsPoste = ""</v>
      </c>
      <c r="R58" s="78"/>
    </row>
    <row r="59" spans="1:18" x14ac:dyDescent="0.2">
      <c r="A59" s="82" t="s">
        <v>75</v>
      </c>
      <c r="B59" s="78" t="s">
        <v>283</v>
      </c>
      <c r="C59" s="82" t="str">
        <f t="shared" si="22"/>
        <v>frm_dados1.cmbQtdDpsPoste.text</v>
      </c>
      <c r="D59" s="78" t="s">
        <v>277</v>
      </c>
      <c r="E59" s="82" t="str">
        <f t="shared" si="49"/>
        <v>Public QtdDpsPoste as Integer</v>
      </c>
      <c r="F59" s="82" t="str">
        <f t="shared" si="50"/>
        <v>QtdDpsPoste = frm_dados1.cmbQtdDpsPoste.text</v>
      </c>
      <c r="G59" s="82" t="str">
        <f t="shared" si="51"/>
        <v xml:space="preserve">frm_dados1.cmbQtdDpsPoste.TabIndex = </v>
      </c>
      <c r="H59" s="82"/>
      <c r="I59" s="82" t="str">
        <f t="shared" si="52"/>
        <v>frm_dados1.cmbQtdDpsPoste.text = "" OR _</v>
      </c>
      <c r="J59" s="82" t="str">
        <f t="shared" si="53"/>
        <v>frm_dados1.cmbQtdDpsPoste.text = QtdDpsPoste</v>
      </c>
      <c r="K59" s="82"/>
      <c r="L59" s="82">
        <f t="shared" si="29"/>
        <v>54</v>
      </c>
      <c r="M59" s="82" t="str">
        <f t="shared" si="54"/>
        <v>Cells(ultm_lin,54).value = QtdDpsPoste</v>
      </c>
      <c r="N59" s="82" t="str">
        <f t="shared" si="55"/>
        <v xml:space="preserve">QtdDpsPoste = Cells(n,54).value </v>
      </c>
      <c r="O59" s="82" t="str">
        <f t="shared" si="56"/>
        <v>frm_dados1.cmbQtdDpsPoste.text = ""</v>
      </c>
      <c r="P59" s="82" t="str">
        <f t="shared" si="57"/>
        <v>frm_dados1.cmbQtdDpsPoste.text = "QtdDpsPoste"</v>
      </c>
      <c r="Q59" s="82" t="str">
        <f t="shared" si="58"/>
        <v>QtdDpsPoste = ""</v>
      </c>
      <c r="R59" s="78"/>
    </row>
    <row r="60" spans="1:18" x14ac:dyDescent="0.2">
      <c r="A60" s="82" t="s">
        <v>75</v>
      </c>
      <c r="B60" s="78" t="s">
        <v>284</v>
      </c>
      <c r="C60" s="82" t="str">
        <f t="shared" si="22"/>
        <v>frm_dados1.txtTensaoDpsPoste.text</v>
      </c>
      <c r="D60" s="78" t="s">
        <v>278</v>
      </c>
      <c r="E60" s="82" t="str">
        <f t="shared" si="49"/>
        <v>Public TensaoDpsPoste as Integer</v>
      </c>
      <c r="F60" s="82" t="str">
        <f t="shared" si="50"/>
        <v>TensaoDpsPoste = frm_dados1.txtTensaoDpsPoste.text</v>
      </c>
      <c r="G60" s="82" t="str">
        <f t="shared" si="51"/>
        <v xml:space="preserve">frm_dados1.txtTensaoDpsPoste.TabIndex = </v>
      </c>
      <c r="H60" s="82"/>
      <c r="I60" s="82" t="str">
        <f t="shared" si="52"/>
        <v>frm_dados1.txtTensaoDpsPoste.text = "" OR _</v>
      </c>
      <c r="J60" s="82" t="str">
        <f t="shared" si="53"/>
        <v>frm_dados1.txtTensaoDpsPoste.text = TensaoDpsPoste</v>
      </c>
      <c r="K60" s="82"/>
      <c r="L60" s="82">
        <f t="shared" si="29"/>
        <v>55</v>
      </c>
      <c r="M60" s="82" t="str">
        <f t="shared" si="54"/>
        <v>Cells(ultm_lin,55).value = TensaoDpsPoste</v>
      </c>
      <c r="N60" s="82" t="str">
        <f t="shared" si="55"/>
        <v xml:space="preserve">TensaoDpsPoste = Cells(n,55).value </v>
      </c>
      <c r="O60" s="82" t="str">
        <f t="shared" si="56"/>
        <v>frm_dados1.txtTensaoDpsPoste.text = ""</v>
      </c>
      <c r="P60" s="82" t="str">
        <f t="shared" si="57"/>
        <v>frm_dados1.txtTensaoDpsPoste.text = "TensaoDpsPoste"</v>
      </c>
      <c r="Q60" s="82" t="str">
        <f t="shared" si="58"/>
        <v>TensaoDpsPoste = ""</v>
      </c>
      <c r="R60" s="78"/>
    </row>
    <row r="61" spans="1:18" x14ac:dyDescent="0.2">
      <c r="A61" s="82" t="s">
        <v>75</v>
      </c>
      <c r="B61" s="78" t="s">
        <v>285</v>
      </c>
      <c r="C61" s="82" t="str">
        <f t="shared" si="22"/>
        <v>frm_dados1.txtCorrenteDpsPoste_Max.text</v>
      </c>
      <c r="D61" s="78" t="s">
        <v>279</v>
      </c>
      <c r="E61" s="82" t="str">
        <f t="shared" si="49"/>
        <v>Public CorrenteDpsPoste_Max as Integer</v>
      </c>
      <c r="F61" s="82" t="str">
        <f t="shared" si="50"/>
        <v>CorrenteDpsPoste_Max = frm_dados1.txtCorrenteDpsPoste_Max.text</v>
      </c>
      <c r="G61" s="82" t="str">
        <f t="shared" si="51"/>
        <v xml:space="preserve">frm_dados1.txtCorrenteDpsPoste_Max.TabIndex = </v>
      </c>
      <c r="H61" s="82"/>
      <c r="I61" s="82" t="str">
        <f t="shared" si="52"/>
        <v>frm_dados1.txtCorrenteDpsPoste_Max.text = "" OR _</v>
      </c>
      <c r="J61" s="82" t="str">
        <f t="shared" si="53"/>
        <v>frm_dados1.txtCorrenteDpsPoste_Max.text = CorrenteDpsPoste_Max</v>
      </c>
      <c r="K61" s="82"/>
      <c r="L61" s="82">
        <f t="shared" si="29"/>
        <v>56</v>
      </c>
      <c r="M61" s="82" t="str">
        <f t="shared" si="54"/>
        <v>Cells(ultm_lin,56).value = CorrenteDpsPoste_Max</v>
      </c>
      <c r="N61" s="82" t="str">
        <f t="shared" si="55"/>
        <v xml:space="preserve">CorrenteDpsPoste_Max = Cells(n,56).value </v>
      </c>
      <c r="O61" s="82" t="str">
        <f t="shared" si="56"/>
        <v>frm_dados1.txtCorrenteDpsPoste_Max.text = ""</v>
      </c>
      <c r="P61" s="82" t="str">
        <f t="shared" si="57"/>
        <v>frm_dados1.txtCorrenteDpsPoste_Max.text = "CorrenteDpsPoste_Max"</v>
      </c>
      <c r="Q61" s="82" t="str">
        <f t="shared" si="58"/>
        <v>CorrenteDpsPoste_Max = ""</v>
      </c>
      <c r="R61" s="78"/>
    </row>
    <row r="62" spans="1:18" x14ac:dyDescent="0.2">
      <c r="A62" s="82" t="s">
        <v>75</v>
      </c>
      <c r="B62" s="78" t="s">
        <v>286</v>
      </c>
      <c r="C62" s="82" t="str">
        <f t="shared" si="22"/>
        <v>frm_dados1.txtCorrenteDpsPoste.text</v>
      </c>
      <c r="D62" s="78" t="s">
        <v>280</v>
      </c>
      <c r="E62" s="82" t="str">
        <f t="shared" si="49"/>
        <v>Public CorrenteDpsPoste as Integer</v>
      </c>
      <c r="F62" s="82" t="str">
        <f t="shared" si="50"/>
        <v>CorrenteDpsPoste = frm_dados1.txtCorrenteDpsPoste.text</v>
      </c>
      <c r="G62" s="82" t="str">
        <f t="shared" si="51"/>
        <v xml:space="preserve">frm_dados1.txtCorrenteDpsPoste.TabIndex = </v>
      </c>
      <c r="H62" s="82"/>
      <c r="I62" s="82" t="str">
        <f t="shared" si="52"/>
        <v>frm_dados1.txtCorrenteDpsPoste.text = "" OR _</v>
      </c>
      <c r="J62" s="82" t="str">
        <f t="shared" si="53"/>
        <v>frm_dados1.txtCorrenteDpsPoste.text = CorrenteDpsPoste</v>
      </c>
      <c r="K62" s="82"/>
      <c r="L62" s="82">
        <f t="shared" si="29"/>
        <v>57</v>
      </c>
      <c r="M62" s="82" t="str">
        <f t="shared" si="54"/>
        <v>Cells(ultm_lin,57).value = CorrenteDpsPoste</v>
      </c>
      <c r="N62" s="82" t="str">
        <f t="shared" si="55"/>
        <v xml:space="preserve">CorrenteDpsPoste = Cells(n,57).value </v>
      </c>
      <c r="O62" s="82" t="str">
        <f t="shared" si="56"/>
        <v>frm_dados1.txtCorrenteDpsPoste.text = ""</v>
      </c>
      <c r="P62" s="82" t="str">
        <f t="shared" si="57"/>
        <v>frm_dados1.txtCorrenteDpsPoste.text = "CorrenteDpsPoste"</v>
      </c>
      <c r="Q62" s="82" t="str">
        <f t="shared" si="58"/>
        <v>CorrenteDpsPoste = ""</v>
      </c>
      <c r="R62" s="78"/>
    </row>
    <row r="63" spans="1:18" s="98" customFormat="1" x14ac:dyDescent="0.2">
      <c r="A63" s="98" t="s">
        <v>75</v>
      </c>
      <c r="B63" s="98" t="s">
        <v>300</v>
      </c>
      <c r="C63" s="99" t="str">
        <f t="shared" si="22"/>
        <v>frm_dados1.cmbTipoCx.text</v>
      </c>
      <c r="D63" s="98" t="s">
        <v>287</v>
      </c>
      <c r="E63" s="82" t="str">
        <f>"Public "&amp;D63&amp;" as String"</f>
        <v>Public tipoCaixaCemig as String</v>
      </c>
      <c r="F63" s="82" t="str">
        <f>D63&amp;" = "&amp;C63</f>
        <v>tipoCaixaCemig = frm_dados1.cmbTipoCx.text</v>
      </c>
      <c r="G63" s="82" t="str">
        <f t="shared" si="51"/>
        <v xml:space="preserve">frm_dados1.cmbTipoCx.TabIndex = </v>
      </c>
      <c r="H63" s="82"/>
      <c r="I63" s="82" t="str">
        <f>C63&amp;" = """" OR _"</f>
        <v>frm_dados1.cmbTipoCx.text = "" OR _</v>
      </c>
      <c r="J63" s="82" t="str">
        <f>C63&amp;" = "&amp;D63</f>
        <v>frm_dados1.cmbTipoCx.text = tipoCaixaCemig</v>
      </c>
      <c r="K63" s="82"/>
      <c r="L63" s="82">
        <f t="shared" si="29"/>
        <v>58</v>
      </c>
      <c r="M63" s="82" t="str">
        <f>"Cells(ultm_lin,"&amp;L63&amp;").value = "&amp;D63</f>
        <v>Cells(ultm_lin,58).value = tipoCaixaCemig</v>
      </c>
      <c r="N63" s="82" t="str">
        <f>D63 &amp; " = Cells(n,"&amp;L63&amp;").value "</f>
        <v xml:space="preserve">tipoCaixaCemig = Cells(n,58).value </v>
      </c>
      <c r="O63" s="82" t="str">
        <f>C63&amp;" = """""</f>
        <v>frm_dados1.cmbTipoCx.text = ""</v>
      </c>
      <c r="P63" s="82" t="str">
        <f>C63&amp;" = """&amp;D63&amp;""""</f>
        <v>frm_dados1.cmbTipoCx.text = "tipoCaixaCemig"</v>
      </c>
      <c r="Q63" s="82" t="str">
        <f>D63&amp;" = """""</f>
        <v>tipoCaixaCemig = ""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6C66-CCD0-40C8-A2AB-29BB06C5B07D}">
  <sheetPr codeName="Planilha9"/>
  <dimension ref="A1:D50"/>
  <sheetViews>
    <sheetView workbookViewId="0">
      <selection activeCell="A11" sqref="A11:XFD11"/>
    </sheetView>
  </sheetViews>
  <sheetFormatPr defaultRowHeight="15" x14ac:dyDescent="0.2"/>
  <cols>
    <col min="1" max="1" width="13.44140625" bestFit="1" customWidth="1"/>
    <col min="2" max="2" width="9.33203125" bestFit="1" customWidth="1"/>
    <col min="4" max="4" width="12.6640625" bestFit="1" customWidth="1"/>
    <col min="8" max="8" width="12.6640625" bestFit="1" customWidth="1"/>
  </cols>
  <sheetData>
    <row r="1" spans="1:4" x14ac:dyDescent="0.2">
      <c r="A1" t="s">
        <v>415</v>
      </c>
      <c r="B1" t="s">
        <v>414</v>
      </c>
      <c r="C1" t="s">
        <v>416</v>
      </c>
      <c r="D1" t="s">
        <v>417</v>
      </c>
    </row>
    <row r="2" spans="1:4" x14ac:dyDescent="0.2">
      <c r="A2">
        <v>1</v>
      </c>
      <c r="B2">
        <v>1</v>
      </c>
      <c r="C2" t="s">
        <v>418</v>
      </c>
      <c r="D2" t="s">
        <v>418</v>
      </c>
    </row>
    <row r="3" spans="1:4" x14ac:dyDescent="0.2">
      <c r="A3">
        <v>54</v>
      </c>
      <c r="B3">
        <v>4</v>
      </c>
      <c r="C3" t="s">
        <v>364</v>
      </c>
      <c r="D3" t="s">
        <v>420</v>
      </c>
    </row>
    <row r="4" spans="1:4" x14ac:dyDescent="0.2">
      <c r="A4">
        <v>55</v>
      </c>
      <c r="B4">
        <v>4</v>
      </c>
      <c r="C4" t="s">
        <v>374</v>
      </c>
      <c r="D4" t="s">
        <v>420</v>
      </c>
    </row>
    <row r="5" spans="1:4" x14ac:dyDescent="0.2">
      <c r="A5">
        <v>56</v>
      </c>
      <c r="B5">
        <v>4</v>
      </c>
      <c r="C5" t="s">
        <v>375</v>
      </c>
      <c r="D5" t="s">
        <v>420</v>
      </c>
    </row>
    <row r="6" spans="1:4" x14ac:dyDescent="0.2">
      <c r="A6">
        <v>57</v>
      </c>
      <c r="B6">
        <v>4</v>
      </c>
      <c r="C6" t="s">
        <v>376</v>
      </c>
      <c r="D6" t="s">
        <v>420</v>
      </c>
    </row>
    <row r="7" spans="1:4" x14ac:dyDescent="0.2">
      <c r="A7">
        <v>58</v>
      </c>
      <c r="B7">
        <v>4</v>
      </c>
      <c r="C7" t="s">
        <v>377</v>
      </c>
      <c r="D7" t="s">
        <v>420</v>
      </c>
    </row>
    <row r="8" spans="1:4" x14ac:dyDescent="0.2">
      <c r="A8">
        <v>59</v>
      </c>
      <c r="B8">
        <v>4</v>
      </c>
      <c r="C8" t="s">
        <v>378</v>
      </c>
      <c r="D8" t="s">
        <v>420</v>
      </c>
    </row>
    <row r="9" spans="1:4" x14ac:dyDescent="0.2">
      <c r="A9">
        <v>60</v>
      </c>
      <c r="B9">
        <v>4</v>
      </c>
      <c r="C9" t="s">
        <v>379</v>
      </c>
      <c r="D9" t="s">
        <v>420</v>
      </c>
    </row>
    <row r="10" spans="1:4" x14ac:dyDescent="0.2">
      <c r="A10">
        <v>61</v>
      </c>
      <c r="B10">
        <v>4</v>
      </c>
      <c r="C10" t="s">
        <v>380</v>
      </c>
      <c r="D10" t="s">
        <v>420</v>
      </c>
    </row>
    <row r="11" spans="1:4" x14ac:dyDescent="0.2">
      <c r="A11">
        <v>62</v>
      </c>
      <c r="B11">
        <v>3</v>
      </c>
      <c r="C11" t="s">
        <v>364</v>
      </c>
      <c r="D11" t="s">
        <v>419</v>
      </c>
    </row>
    <row r="12" spans="1:4" x14ac:dyDescent="0.2">
      <c r="A12">
        <v>63</v>
      </c>
      <c r="B12">
        <v>3</v>
      </c>
      <c r="C12" t="s">
        <v>374</v>
      </c>
      <c r="D12" t="s">
        <v>419</v>
      </c>
    </row>
    <row r="13" spans="1:4" x14ac:dyDescent="0.2">
      <c r="A13">
        <v>64</v>
      </c>
      <c r="B13">
        <v>3</v>
      </c>
      <c r="C13" t="s">
        <v>375</v>
      </c>
      <c r="D13" t="s">
        <v>419</v>
      </c>
    </row>
    <row r="14" spans="1:4" x14ac:dyDescent="0.2">
      <c r="A14">
        <v>65</v>
      </c>
      <c r="B14">
        <v>3</v>
      </c>
      <c r="C14" t="s">
        <v>376</v>
      </c>
      <c r="D14" t="s">
        <v>419</v>
      </c>
    </row>
    <row r="15" spans="1:4" x14ac:dyDescent="0.2">
      <c r="A15">
        <v>66</v>
      </c>
      <c r="B15">
        <v>3</v>
      </c>
      <c r="C15" t="s">
        <v>377</v>
      </c>
      <c r="D15" t="s">
        <v>420</v>
      </c>
    </row>
    <row r="16" spans="1:4" x14ac:dyDescent="0.2">
      <c r="A16">
        <v>67</v>
      </c>
      <c r="B16">
        <v>3</v>
      </c>
      <c r="C16" t="s">
        <v>378</v>
      </c>
      <c r="D16" t="s">
        <v>420</v>
      </c>
    </row>
    <row r="17" spans="1:4" x14ac:dyDescent="0.2">
      <c r="A17">
        <v>68</v>
      </c>
      <c r="B17">
        <v>3</v>
      </c>
      <c r="C17" t="s">
        <v>379</v>
      </c>
      <c r="D17" t="s">
        <v>419</v>
      </c>
    </row>
    <row r="18" spans="1:4" x14ac:dyDescent="0.2">
      <c r="A18">
        <v>69</v>
      </c>
      <c r="B18">
        <v>3</v>
      </c>
      <c r="C18" t="s">
        <v>380</v>
      </c>
      <c r="D18" t="s">
        <v>420</v>
      </c>
    </row>
    <row r="19" spans="1:4" x14ac:dyDescent="0.2">
      <c r="A19">
        <v>70</v>
      </c>
      <c r="B19">
        <v>3</v>
      </c>
      <c r="C19" t="s">
        <v>381</v>
      </c>
      <c r="D19" t="s">
        <v>420</v>
      </c>
    </row>
    <row r="20" spans="1:4" x14ac:dyDescent="0.2">
      <c r="A20">
        <v>71</v>
      </c>
      <c r="B20">
        <v>3</v>
      </c>
      <c r="C20" t="s">
        <v>382</v>
      </c>
      <c r="D20" t="s">
        <v>420</v>
      </c>
    </row>
    <row r="21" spans="1:4" x14ac:dyDescent="0.2">
      <c r="A21">
        <v>72</v>
      </c>
      <c r="B21">
        <v>3</v>
      </c>
      <c r="C21" t="s">
        <v>383</v>
      </c>
      <c r="D21" t="s">
        <v>419</v>
      </c>
    </row>
    <row r="22" spans="1:4" x14ac:dyDescent="0.2">
      <c r="A22">
        <v>73</v>
      </c>
      <c r="B22">
        <v>3</v>
      </c>
      <c r="C22" t="s">
        <v>384</v>
      </c>
      <c r="D22" t="s">
        <v>420</v>
      </c>
    </row>
    <row r="23" spans="1:4" x14ac:dyDescent="0.2">
      <c r="A23">
        <v>74</v>
      </c>
      <c r="B23">
        <v>3</v>
      </c>
      <c r="C23" t="s">
        <v>385</v>
      </c>
      <c r="D23" t="s">
        <v>420</v>
      </c>
    </row>
    <row r="24" spans="1:4" x14ac:dyDescent="0.2">
      <c r="A24">
        <v>75</v>
      </c>
      <c r="B24">
        <v>3</v>
      </c>
      <c r="C24" t="s">
        <v>386</v>
      </c>
      <c r="D24" t="s">
        <v>420</v>
      </c>
    </row>
    <row r="25" spans="1:4" x14ac:dyDescent="0.2">
      <c r="A25">
        <v>76</v>
      </c>
      <c r="B25">
        <v>3</v>
      </c>
      <c r="C25" t="s">
        <v>387</v>
      </c>
      <c r="D25" t="s">
        <v>419</v>
      </c>
    </row>
    <row r="26" spans="1:4" x14ac:dyDescent="0.2">
      <c r="A26">
        <v>77</v>
      </c>
      <c r="B26">
        <v>3</v>
      </c>
      <c r="C26" t="s">
        <v>388</v>
      </c>
      <c r="D26" t="s">
        <v>420</v>
      </c>
    </row>
    <row r="27" spans="1:4" x14ac:dyDescent="0.2">
      <c r="A27">
        <v>78</v>
      </c>
      <c r="B27">
        <v>3</v>
      </c>
      <c r="C27" t="s">
        <v>389</v>
      </c>
      <c r="D27" t="s">
        <v>420</v>
      </c>
    </row>
    <row r="28" spans="1:4" x14ac:dyDescent="0.2">
      <c r="A28">
        <v>79</v>
      </c>
      <c r="B28">
        <v>3</v>
      </c>
      <c r="C28" t="s">
        <v>390</v>
      </c>
      <c r="D28" t="s">
        <v>420</v>
      </c>
    </row>
    <row r="29" spans="1:4" x14ac:dyDescent="0.2">
      <c r="A29">
        <v>80</v>
      </c>
      <c r="B29">
        <v>3</v>
      </c>
      <c r="C29" t="s">
        <v>391</v>
      </c>
      <c r="D29" t="s">
        <v>419</v>
      </c>
    </row>
    <row r="30" spans="1:4" x14ac:dyDescent="0.2">
      <c r="A30">
        <v>81</v>
      </c>
      <c r="B30">
        <v>3</v>
      </c>
      <c r="C30" t="s">
        <v>392</v>
      </c>
      <c r="D30" t="s">
        <v>420</v>
      </c>
    </row>
    <row r="31" spans="1:4" x14ac:dyDescent="0.2">
      <c r="A31">
        <v>82</v>
      </c>
      <c r="B31">
        <v>2</v>
      </c>
      <c r="C31" t="s">
        <v>364</v>
      </c>
      <c r="D31" t="s">
        <v>419</v>
      </c>
    </row>
    <row r="32" spans="1:4" x14ac:dyDescent="0.2">
      <c r="A32">
        <v>83</v>
      </c>
      <c r="B32">
        <v>2</v>
      </c>
      <c r="C32" t="s">
        <v>374</v>
      </c>
      <c r="D32" t="s">
        <v>420</v>
      </c>
    </row>
    <row r="33" spans="1:4" x14ac:dyDescent="0.2">
      <c r="A33">
        <v>84</v>
      </c>
      <c r="B33">
        <v>2</v>
      </c>
      <c r="C33" t="s">
        <v>375</v>
      </c>
      <c r="D33" t="s">
        <v>420</v>
      </c>
    </row>
    <row r="34" spans="1:4" x14ac:dyDescent="0.2">
      <c r="A34">
        <v>85</v>
      </c>
      <c r="B34">
        <v>2</v>
      </c>
      <c r="C34" t="s">
        <v>376</v>
      </c>
      <c r="D34" t="s">
        <v>420</v>
      </c>
    </row>
    <row r="35" spans="1:4" x14ac:dyDescent="0.2">
      <c r="A35">
        <v>86</v>
      </c>
      <c r="B35">
        <v>2</v>
      </c>
      <c r="C35" t="s">
        <v>377</v>
      </c>
      <c r="D35" t="s">
        <v>420</v>
      </c>
    </row>
    <row r="36" spans="1:4" x14ac:dyDescent="0.2">
      <c r="A36">
        <v>87</v>
      </c>
      <c r="B36">
        <v>2</v>
      </c>
      <c r="C36" t="s">
        <v>378</v>
      </c>
      <c r="D36" t="s">
        <v>419</v>
      </c>
    </row>
    <row r="37" spans="1:4" x14ac:dyDescent="0.2">
      <c r="A37">
        <v>88</v>
      </c>
      <c r="B37">
        <v>2</v>
      </c>
      <c r="C37" t="s">
        <v>379</v>
      </c>
      <c r="D37" t="s">
        <v>420</v>
      </c>
    </row>
    <row r="38" spans="1:4" x14ac:dyDescent="0.2">
      <c r="A38">
        <v>89</v>
      </c>
      <c r="B38">
        <v>2</v>
      </c>
      <c r="C38" t="s">
        <v>380</v>
      </c>
      <c r="D38" t="s">
        <v>420</v>
      </c>
    </row>
    <row r="39" spans="1:4" x14ac:dyDescent="0.2">
      <c r="A39">
        <v>90</v>
      </c>
      <c r="B39">
        <v>2</v>
      </c>
      <c r="C39" t="s">
        <v>381</v>
      </c>
      <c r="D39" t="s">
        <v>420</v>
      </c>
    </row>
    <row r="40" spans="1:4" x14ac:dyDescent="0.2">
      <c r="A40">
        <v>91</v>
      </c>
      <c r="B40">
        <v>2</v>
      </c>
      <c r="C40" t="s">
        <v>382</v>
      </c>
      <c r="D40" t="s">
        <v>420</v>
      </c>
    </row>
    <row r="41" spans="1:4" x14ac:dyDescent="0.2">
      <c r="A41">
        <v>92</v>
      </c>
      <c r="B41">
        <v>2</v>
      </c>
      <c r="C41" t="s">
        <v>383</v>
      </c>
      <c r="D41" t="s">
        <v>419</v>
      </c>
    </row>
    <row r="42" spans="1:4" x14ac:dyDescent="0.2">
      <c r="A42">
        <v>93</v>
      </c>
      <c r="B42">
        <v>2</v>
      </c>
      <c r="C42" t="s">
        <v>384</v>
      </c>
      <c r="D42" t="s">
        <v>420</v>
      </c>
    </row>
    <row r="43" spans="1:4" x14ac:dyDescent="0.2">
      <c r="A43">
        <v>94</v>
      </c>
      <c r="B43">
        <v>2</v>
      </c>
      <c r="C43" t="s">
        <v>385</v>
      </c>
      <c r="D43" t="s">
        <v>420</v>
      </c>
    </row>
    <row r="44" spans="1:4" x14ac:dyDescent="0.2">
      <c r="A44">
        <v>95</v>
      </c>
      <c r="B44">
        <v>2</v>
      </c>
      <c r="C44" t="s">
        <v>386</v>
      </c>
      <c r="D44" t="s">
        <v>420</v>
      </c>
    </row>
    <row r="45" spans="1:4" x14ac:dyDescent="0.2">
      <c r="A45">
        <v>96</v>
      </c>
      <c r="B45">
        <v>2</v>
      </c>
      <c r="C45" t="s">
        <v>387</v>
      </c>
      <c r="D45" t="s">
        <v>420</v>
      </c>
    </row>
    <row r="46" spans="1:4" x14ac:dyDescent="0.2">
      <c r="A46">
        <v>97</v>
      </c>
      <c r="B46">
        <v>2</v>
      </c>
      <c r="C46" t="s">
        <v>388</v>
      </c>
      <c r="D46" t="s">
        <v>419</v>
      </c>
    </row>
    <row r="47" spans="1:4" x14ac:dyDescent="0.2">
      <c r="A47">
        <v>98</v>
      </c>
      <c r="B47">
        <v>2</v>
      </c>
      <c r="C47" t="s">
        <v>389</v>
      </c>
      <c r="D47" t="s">
        <v>420</v>
      </c>
    </row>
    <row r="48" spans="1:4" x14ac:dyDescent="0.2">
      <c r="A48">
        <v>99</v>
      </c>
      <c r="B48">
        <v>2</v>
      </c>
      <c r="C48" t="s">
        <v>390</v>
      </c>
      <c r="D48" t="s">
        <v>419</v>
      </c>
    </row>
    <row r="49" spans="1:4" x14ac:dyDescent="0.2">
      <c r="A49">
        <v>100</v>
      </c>
      <c r="B49">
        <v>2</v>
      </c>
      <c r="C49" t="s">
        <v>391</v>
      </c>
      <c r="D49" t="s">
        <v>419</v>
      </c>
    </row>
    <row r="50" spans="1:4" x14ac:dyDescent="0.2">
      <c r="A50">
        <v>101</v>
      </c>
      <c r="B50">
        <v>2</v>
      </c>
      <c r="C50" t="s">
        <v>392</v>
      </c>
      <c r="D50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BX5"/>
  <sheetViews>
    <sheetView workbookViewId="0">
      <selection activeCell="D22" sqref="D22"/>
    </sheetView>
  </sheetViews>
  <sheetFormatPr defaultRowHeight="14.25" x14ac:dyDescent="0.2"/>
  <cols>
    <col min="1" max="1" width="3.77734375" style="70" bestFit="1" customWidth="1"/>
    <col min="2" max="2" width="15.5546875" style="70" bestFit="1" customWidth="1"/>
    <col min="3" max="3" width="12.88671875" style="70" bestFit="1" customWidth="1"/>
    <col min="4" max="4" width="7.6640625" style="70" bestFit="1" customWidth="1"/>
    <col min="5" max="5" width="13.5546875" style="70" bestFit="1" customWidth="1"/>
    <col min="6" max="6" width="14.109375" style="70" bestFit="1" customWidth="1"/>
    <col min="7" max="7" width="14.33203125" style="70" bestFit="1" customWidth="1"/>
    <col min="8" max="8" width="7.6640625" style="70" bestFit="1" customWidth="1"/>
    <col min="9" max="9" width="14.44140625" style="70" bestFit="1" customWidth="1"/>
    <col min="10" max="10" width="5.109375" style="70" bestFit="1" customWidth="1"/>
    <col min="11" max="11" width="9.88671875" style="70" bestFit="1" customWidth="1"/>
    <col min="12" max="12" width="10.6640625" style="70" bestFit="1" customWidth="1"/>
    <col min="13" max="13" width="9.88671875" style="70" bestFit="1" customWidth="1"/>
    <col min="14" max="14" width="12.6640625" style="70" bestFit="1" customWidth="1"/>
    <col min="15" max="15" width="10.44140625" style="70" bestFit="1" customWidth="1"/>
    <col min="16" max="16" width="20.88671875" style="70" bestFit="1" customWidth="1"/>
    <col min="17" max="17" width="16.77734375" style="70" bestFit="1" customWidth="1"/>
    <col min="18" max="18" width="18.88671875" style="70" bestFit="1" customWidth="1"/>
    <col min="19" max="19" width="17.44140625" style="70" bestFit="1" customWidth="1"/>
    <col min="20" max="20" width="11.33203125" style="70" bestFit="1" customWidth="1"/>
    <col min="21" max="21" width="8.88671875" style="70" bestFit="1" customWidth="1"/>
    <col min="22" max="22" width="10" style="70" bestFit="1" customWidth="1"/>
    <col min="23" max="23" width="10.6640625" style="70" bestFit="1" customWidth="1"/>
    <col min="24" max="24" width="12.109375" style="70" bestFit="1" customWidth="1"/>
    <col min="25" max="25" width="11.77734375" style="70" bestFit="1" customWidth="1"/>
    <col min="26" max="26" width="13.77734375" style="70" bestFit="1" customWidth="1"/>
    <col min="27" max="27" width="13.109375" style="70" bestFit="1" customWidth="1"/>
    <col min="28" max="28" width="12.5546875" style="70" bestFit="1" customWidth="1"/>
    <col min="29" max="29" width="13.77734375" style="70" bestFit="1" customWidth="1"/>
    <col min="30" max="30" width="13.33203125" style="70" bestFit="1" customWidth="1"/>
    <col min="31" max="31" width="11.5546875" style="70" bestFit="1" customWidth="1"/>
    <col min="32" max="32" width="14.77734375" style="70" bestFit="1" customWidth="1"/>
    <col min="33" max="33" width="14" style="70" bestFit="1" customWidth="1"/>
    <col min="34" max="34" width="11" style="70" bestFit="1" customWidth="1"/>
    <col min="35" max="35" width="10.33203125" style="70" bestFit="1" customWidth="1"/>
    <col min="36" max="36" width="10.77734375" style="70" bestFit="1" customWidth="1"/>
    <col min="37" max="37" width="8.5546875" style="70" bestFit="1" customWidth="1"/>
    <col min="38" max="38" width="12.21875" style="70" bestFit="1" customWidth="1"/>
    <col min="39" max="39" width="31.6640625" style="70" bestFit="1" customWidth="1"/>
    <col min="40" max="40" width="12.44140625" style="70" bestFit="1" customWidth="1"/>
    <col min="41" max="41" width="11.44140625" style="70" bestFit="1" customWidth="1"/>
    <col min="42" max="42" width="11.77734375" style="71" bestFit="1" customWidth="1"/>
    <col min="43" max="47" width="12.33203125" style="77" bestFit="1" customWidth="1"/>
    <col min="48" max="48" width="19.88671875" style="70" bestFit="1" customWidth="1"/>
    <col min="49" max="49" width="19.77734375" style="70" bestFit="1" customWidth="1"/>
    <col min="50" max="51" width="13.21875" style="70" bestFit="1" customWidth="1"/>
    <col min="52" max="52" width="20.21875" style="70" bestFit="1" customWidth="1"/>
    <col min="53" max="53" width="15.109375" style="70" bestFit="1" customWidth="1"/>
    <col min="54" max="54" width="13.33203125" style="70" bestFit="1" customWidth="1"/>
    <col min="55" max="55" width="16.44140625" style="70" bestFit="1" customWidth="1"/>
    <col min="56" max="56" width="21.77734375" style="70" bestFit="1" customWidth="1"/>
    <col min="57" max="57" width="17.44140625" style="70" bestFit="1" customWidth="1"/>
    <col min="58" max="58" width="15.5546875" style="70" bestFit="1" customWidth="1"/>
    <col min="59" max="74" width="8.88671875" style="70"/>
    <col min="75" max="75" width="16.44140625" style="70" bestFit="1" customWidth="1"/>
    <col min="76" max="76" width="7" style="70" bestFit="1" customWidth="1"/>
    <col min="77" max="16384" width="8.88671875" style="70"/>
  </cols>
  <sheetData>
    <row r="1" spans="1:76" ht="15" x14ac:dyDescent="0.2">
      <c r="A1" s="69" t="s">
        <v>162</v>
      </c>
      <c r="B1" s="69" t="s">
        <v>163</v>
      </c>
      <c r="C1" s="69" t="s">
        <v>18</v>
      </c>
      <c r="D1" s="69" t="s">
        <v>19</v>
      </c>
      <c r="E1" s="69" t="s">
        <v>79</v>
      </c>
      <c r="F1" s="69" t="s">
        <v>80</v>
      </c>
      <c r="G1" s="69" t="s">
        <v>81</v>
      </c>
      <c r="H1" s="69" t="s">
        <v>20</v>
      </c>
      <c r="I1" s="69" t="s">
        <v>15</v>
      </c>
      <c r="J1" s="69" t="s">
        <v>82</v>
      </c>
      <c r="K1" s="69" t="s">
        <v>83</v>
      </c>
      <c r="L1" s="69" t="s">
        <v>84</v>
      </c>
      <c r="M1" s="69" t="s">
        <v>16</v>
      </c>
      <c r="N1" s="69" t="s">
        <v>85</v>
      </c>
      <c r="O1" s="69" t="s">
        <v>86</v>
      </c>
      <c r="P1" s="69" t="s">
        <v>68</v>
      </c>
      <c r="Q1" s="69" t="s">
        <v>87</v>
      </c>
      <c r="R1" s="69" t="s">
        <v>88</v>
      </c>
      <c r="S1" s="69" t="s">
        <v>89</v>
      </c>
      <c r="T1" s="69" t="s">
        <v>90</v>
      </c>
      <c r="U1" s="69" t="s">
        <v>91</v>
      </c>
      <c r="V1" s="69" t="s">
        <v>92</v>
      </c>
      <c r="W1" s="101" t="s">
        <v>93</v>
      </c>
      <c r="X1" s="69" t="s">
        <v>94</v>
      </c>
      <c r="Y1" s="69" t="s">
        <v>95</v>
      </c>
      <c r="Z1" s="69" t="s">
        <v>96</v>
      </c>
      <c r="AA1" s="69" t="s">
        <v>97</v>
      </c>
      <c r="AB1" s="69" t="s">
        <v>98</v>
      </c>
      <c r="AC1" s="69" t="s">
        <v>99</v>
      </c>
      <c r="AD1" s="69" t="s">
        <v>100</v>
      </c>
      <c r="AE1" s="69" t="s">
        <v>101</v>
      </c>
      <c r="AF1" s="69" t="s">
        <v>102</v>
      </c>
      <c r="AG1" s="69" t="s">
        <v>103</v>
      </c>
      <c r="AH1" s="69" t="s">
        <v>104</v>
      </c>
      <c r="AI1" s="69" t="s">
        <v>105</v>
      </c>
      <c r="AJ1" s="69" t="s">
        <v>106</v>
      </c>
      <c r="AK1" s="69" t="s">
        <v>107</v>
      </c>
      <c r="AL1" s="69" t="s">
        <v>166</v>
      </c>
      <c r="AM1" s="69" t="s">
        <v>22</v>
      </c>
      <c r="AN1" s="69" t="s">
        <v>175</v>
      </c>
      <c r="AO1" s="69" t="s">
        <v>176</v>
      </c>
      <c r="AP1" s="75" t="s">
        <v>180</v>
      </c>
      <c r="AQ1" s="102" t="s">
        <v>184</v>
      </c>
      <c r="AR1" s="76" t="s">
        <v>190</v>
      </c>
      <c r="AS1" s="76" t="s">
        <v>191</v>
      </c>
      <c r="AT1" s="76" t="s">
        <v>192</v>
      </c>
      <c r="AU1" s="76" t="s">
        <v>193</v>
      </c>
      <c r="AV1" s="84" t="s">
        <v>201</v>
      </c>
      <c r="AW1" s="84" t="s">
        <v>202</v>
      </c>
      <c r="AX1" s="70" t="s">
        <v>212</v>
      </c>
      <c r="AY1" s="70" t="s">
        <v>236</v>
      </c>
      <c r="AZ1" s="96" t="s">
        <v>275</v>
      </c>
      <c r="BA1" s="95" t="s">
        <v>276</v>
      </c>
      <c r="BB1" s="95" t="s">
        <v>277</v>
      </c>
      <c r="BC1" s="94" t="s">
        <v>278</v>
      </c>
      <c r="BD1" s="94" t="s">
        <v>279</v>
      </c>
      <c r="BE1" s="94" t="s">
        <v>280</v>
      </c>
      <c r="BF1" s="103" t="s">
        <v>287</v>
      </c>
      <c r="BW1" s="71" t="s">
        <v>172</v>
      </c>
      <c r="BX1" s="71">
        <v>369</v>
      </c>
    </row>
    <row r="2" spans="1:76" x14ac:dyDescent="0.2">
      <c r="A2" s="72">
        <v>1</v>
      </c>
      <c r="B2" s="83">
        <v>44907.605520833335</v>
      </c>
      <c r="C2" s="70" t="s">
        <v>290</v>
      </c>
      <c r="D2" s="70" t="s">
        <v>214</v>
      </c>
      <c r="E2" s="70">
        <v>1420</v>
      </c>
      <c r="G2" s="70">
        <v>200</v>
      </c>
      <c r="H2" s="70" t="s">
        <v>165</v>
      </c>
      <c r="I2" s="70" t="s">
        <v>291</v>
      </c>
      <c r="J2" s="70">
        <v>1457</v>
      </c>
      <c r="K2" s="70">
        <v>2</v>
      </c>
      <c r="L2" s="70">
        <v>2</v>
      </c>
      <c r="M2" s="70" t="s">
        <v>292</v>
      </c>
      <c r="N2" s="70">
        <v>100</v>
      </c>
      <c r="O2" s="70">
        <v>4</v>
      </c>
      <c r="P2" s="70" t="s">
        <v>245</v>
      </c>
      <c r="Q2" s="70">
        <v>15</v>
      </c>
      <c r="R2" s="70">
        <v>32</v>
      </c>
      <c r="S2" s="70">
        <v>4</v>
      </c>
      <c r="T2" s="70" t="s">
        <v>38</v>
      </c>
      <c r="U2" s="70">
        <v>1</v>
      </c>
      <c r="V2" s="70">
        <v>0</v>
      </c>
      <c r="W2" s="70" t="s">
        <v>194</v>
      </c>
      <c r="X2" s="70" t="s">
        <v>161</v>
      </c>
      <c r="Y2" s="70" t="s">
        <v>46</v>
      </c>
      <c r="Z2" s="70" t="s">
        <v>46</v>
      </c>
      <c r="AA2" s="70" t="s">
        <v>240</v>
      </c>
      <c r="AB2" s="70" t="s">
        <v>241</v>
      </c>
      <c r="AC2" s="70" t="s">
        <v>242</v>
      </c>
      <c r="AD2" s="70" t="s">
        <v>243</v>
      </c>
      <c r="AE2" s="70" t="s">
        <v>293</v>
      </c>
      <c r="AG2" s="70">
        <v>3020</v>
      </c>
      <c r="AI2" s="70">
        <v>15</v>
      </c>
      <c r="AJ2" s="70">
        <v>3</v>
      </c>
      <c r="AK2" s="70">
        <v>1</v>
      </c>
      <c r="AL2" s="70">
        <v>0</v>
      </c>
      <c r="AM2" s="70" t="s">
        <v>233</v>
      </c>
      <c r="AN2" s="70">
        <v>1658</v>
      </c>
      <c r="AO2" s="70" t="s">
        <v>178</v>
      </c>
      <c r="AP2" s="71">
        <v>1</v>
      </c>
      <c r="AQ2" s="77" t="s">
        <v>194</v>
      </c>
      <c r="AR2" s="77">
        <v>4</v>
      </c>
      <c r="AS2" s="77">
        <v>5</v>
      </c>
      <c r="AT2" s="77">
        <v>6</v>
      </c>
      <c r="AV2" s="70">
        <v>300</v>
      </c>
      <c r="AX2" s="70">
        <v>100</v>
      </c>
      <c r="AZ2" s="70">
        <v>4</v>
      </c>
      <c r="BA2" s="70" t="s">
        <v>194</v>
      </c>
      <c r="BB2" s="70">
        <v>1</v>
      </c>
      <c r="BF2" s="70" t="s">
        <v>294</v>
      </c>
    </row>
    <row r="3" spans="1:76" x14ac:dyDescent="0.2">
      <c r="A3" s="70">
        <v>2</v>
      </c>
      <c r="B3" s="83">
        <v>44907.605520833335</v>
      </c>
      <c r="C3" s="70" t="s">
        <v>288</v>
      </c>
      <c r="D3" s="70" t="s">
        <v>214</v>
      </c>
      <c r="F3" s="70">
        <v>10</v>
      </c>
      <c r="H3" s="70" t="s">
        <v>165</v>
      </c>
      <c r="I3" s="70" t="s">
        <v>421</v>
      </c>
      <c r="J3" s="70">
        <v>414</v>
      </c>
      <c r="L3" s="70">
        <v>4</v>
      </c>
      <c r="M3" s="70" t="s">
        <v>295</v>
      </c>
      <c r="O3" s="70">
        <v>4</v>
      </c>
      <c r="P3" s="70" t="s">
        <v>245</v>
      </c>
      <c r="Q3" s="70">
        <v>15</v>
      </c>
      <c r="R3" s="70">
        <v>32</v>
      </c>
      <c r="S3" s="70">
        <v>16</v>
      </c>
      <c r="T3" s="70" t="s">
        <v>40</v>
      </c>
      <c r="U3" s="70">
        <v>3</v>
      </c>
      <c r="V3" s="70">
        <v>0</v>
      </c>
      <c r="W3" s="70" t="s">
        <v>208</v>
      </c>
      <c r="X3" s="70" t="s">
        <v>161</v>
      </c>
      <c r="Y3" s="70" t="s">
        <v>46</v>
      </c>
      <c r="Z3" s="70" t="s">
        <v>46</v>
      </c>
      <c r="AA3" s="70" t="s">
        <v>296</v>
      </c>
      <c r="AB3" s="70" t="s">
        <v>430</v>
      </c>
      <c r="AC3" s="70" t="s">
        <v>297</v>
      </c>
      <c r="AD3" s="70" t="s">
        <v>431</v>
      </c>
      <c r="AE3" s="70" t="s">
        <v>432</v>
      </c>
      <c r="AF3" s="70">
        <v>10</v>
      </c>
      <c r="AG3" s="70">
        <v>10</v>
      </c>
      <c r="AH3" s="70">
        <v>5</v>
      </c>
      <c r="AI3" s="70">
        <v>30</v>
      </c>
      <c r="AJ3" s="70">
        <v>4</v>
      </c>
      <c r="AK3" s="70">
        <v>4</v>
      </c>
      <c r="AL3" s="70">
        <v>0</v>
      </c>
      <c r="AM3" s="70" t="s">
        <v>235</v>
      </c>
      <c r="AN3" s="70">
        <v>1658</v>
      </c>
      <c r="AO3" s="70" t="s">
        <v>178</v>
      </c>
      <c r="AP3" s="71">
        <v>1</v>
      </c>
      <c r="AQ3" s="77" t="s">
        <v>208</v>
      </c>
      <c r="AR3" s="77">
        <v>6</v>
      </c>
      <c r="AS3" s="77">
        <v>7</v>
      </c>
      <c r="AT3" s="77">
        <v>8</v>
      </c>
      <c r="AU3" s="77">
        <v>9</v>
      </c>
      <c r="AW3" s="70">
        <v>40</v>
      </c>
      <c r="AY3" s="70">
        <v>80</v>
      </c>
      <c r="AZ3" s="70">
        <v>6</v>
      </c>
      <c r="BA3" s="70" t="s">
        <v>208</v>
      </c>
      <c r="BB3" s="70">
        <v>3</v>
      </c>
      <c r="BC3" s="70">
        <v>30</v>
      </c>
      <c r="BD3" s="70">
        <v>20</v>
      </c>
      <c r="BE3" s="70">
        <v>10</v>
      </c>
      <c r="BF3" s="70" t="s">
        <v>317</v>
      </c>
    </row>
    <row r="4" spans="1:76" x14ac:dyDescent="0.2">
      <c r="A4" s="70">
        <v>3</v>
      </c>
      <c r="B4" s="70" t="s">
        <v>422</v>
      </c>
      <c r="C4" s="70" t="s">
        <v>423</v>
      </c>
      <c r="D4" s="70" t="s">
        <v>214</v>
      </c>
      <c r="F4" s="70">
        <v>10</v>
      </c>
      <c r="H4" s="70" t="s">
        <v>165</v>
      </c>
      <c r="I4" s="70" t="s">
        <v>424</v>
      </c>
      <c r="J4" s="70">
        <v>415</v>
      </c>
      <c r="L4" s="70">
        <v>1</v>
      </c>
      <c r="M4" s="70" t="s">
        <v>425</v>
      </c>
      <c r="O4" s="70">
        <v>4</v>
      </c>
      <c r="P4" s="70" t="s">
        <v>245</v>
      </c>
      <c r="Q4" s="70">
        <v>15</v>
      </c>
      <c r="R4" s="70">
        <v>32</v>
      </c>
      <c r="S4" s="70">
        <v>25</v>
      </c>
      <c r="T4" s="70" t="s">
        <v>39</v>
      </c>
      <c r="U4" s="70">
        <v>2</v>
      </c>
      <c r="V4" s="70">
        <v>1</v>
      </c>
      <c r="W4" s="70" t="s">
        <v>208</v>
      </c>
      <c r="X4" s="70" t="s">
        <v>161</v>
      </c>
      <c r="Y4" s="70" t="s">
        <v>46</v>
      </c>
      <c r="Z4" s="70" t="s">
        <v>47</v>
      </c>
      <c r="AA4" s="70" t="s">
        <v>426</v>
      </c>
      <c r="AB4" s="70" t="s">
        <v>427</v>
      </c>
      <c r="AC4" s="70" t="s">
        <v>428</v>
      </c>
      <c r="AD4" s="70" t="s">
        <v>429</v>
      </c>
      <c r="AE4" s="108">
        <v>14964</v>
      </c>
      <c r="AF4" s="70">
        <v>10</v>
      </c>
      <c r="AG4" s="70">
        <v>1247</v>
      </c>
      <c r="AH4" s="70">
        <v>5</v>
      </c>
      <c r="AI4" s="70">
        <v>12</v>
      </c>
      <c r="AJ4" s="70">
        <v>4</v>
      </c>
      <c r="AK4" s="70">
        <v>4</v>
      </c>
      <c r="AL4" s="70">
        <v>0</v>
      </c>
      <c r="AM4" s="70" t="s">
        <v>444</v>
      </c>
      <c r="AN4" s="70">
        <v>102030</v>
      </c>
      <c r="AO4" s="70" t="s">
        <v>413</v>
      </c>
      <c r="AP4" s="71">
        <v>1</v>
      </c>
      <c r="AQ4" s="77" t="s">
        <v>208</v>
      </c>
      <c r="AR4" s="77">
        <v>3</v>
      </c>
      <c r="AS4" s="77">
        <v>3</v>
      </c>
      <c r="AT4" s="77">
        <v>3</v>
      </c>
      <c r="AU4" s="77">
        <v>3</v>
      </c>
      <c r="AW4" s="70">
        <v>20</v>
      </c>
      <c r="AY4" s="70">
        <v>30</v>
      </c>
      <c r="AZ4" s="70">
        <v>6</v>
      </c>
      <c r="BA4" s="70" t="s">
        <v>208</v>
      </c>
      <c r="BB4" s="70">
        <v>1</v>
      </c>
      <c r="BC4" s="70">
        <v>50</v>
      </c>
      <c r="BD4" s="70">
        <v>40</v>
      </c>
      <c r="BE4" s="70">
        <v>30</v>
      </c>
      <c r="BF4" s="70" t="s">
        <v>317</v>
      </c>
    </row>
    <row r="5" spans="1:76" x14ac:dyDescent="0.2">
      <c r="A5" s="70">
        <v>4</v>
      </c>
      <c r="B5" s="70" t="s">
        <v>433</v>
      </c>
      <c r="C5" s="70" t="s">
        <v>434</v>
      </c>
      <c r="D5" s="70" t="s">
        <v>435</v>
      </c>
      <c r="E5" s="70">
        <v>32</v>
      </c>
      <c r="F5" s="70">
        <v>20</v>
      </c>
      <c r="G5" s="70" t="s">
        <v>436</v>
      </c>
      <c r="H5" s="70" t="s">
        <v>165</v>
      </c>
      <c r="I5" s="70" t="s">
        <v>437</v>
      </c>
      <c r="J5" s="70">
        <v>1</v>
      </c>
      <c r="K5" s="70">
        <v>1</v>
      </c>
      <c r="L5" s="70">
        <v>1</v>
      </c>
      <c r="M5" s="70" t="s">
        <v>438</v>
      </c>
      <c r="N5" s="70">
        <v>1005</v>
      </c>
      <c r="O5" s="70">
        <v>16</v>
      </c>
      <c r="P5" s="70" t="s">
        <v>250</v>
      </c>
      <c r="Q5" s="70">
        <v>63</v>
      </c>
      <c r="R5" s="70">
        <v>100</v>
      </c>
      <c r="S5" s="70">
        <v>35</v>
      </c>
      <c r="T5" s="70" t="s">
        <v>39</v>
      </c>
      <c r="U5" s="70">
        <v>3</v>
      </c>
      <c r="V5" s="70">
        <v>1</v>
      </c>
      <c r="W5" s="70" t="s">
        <v>194</v>
      </c>
      <c r="X5" s="70" t="s">
        <v>232</v>
      </c>
      <c r="Y5" s="70" t="s">
        <v>46</v>
      </c>
      <c r="Z5" s="70" t="s">
        <v>46</v>
      </c>
      <c r="AA5" s="70" t="s">
        <v>439</v>
      </c>
      <c r="AB5" s="70" t="s">
        <v>440</v>
      </c>
      <c r="AC5" s="70" t="s">
        <v>441</v>
      </c>
      <c r="AD5" s="70" t="s">
        <v>442</v>
      </c>
      <c r="AE5" s="70">
        <v>10</v>
      </c>
      <c r="AF5" s="70">
        <v>10</v>
      </c>
      <c r="AG5" s="70">
        <v>550</v>
      </c>
      <c r="AH5" s="70">
        <v>1</v>
      </c>
      <c r="AI5" s="70">
        <v>20</v>
      </c>
      <c r="AJ5" s="70">
        <v>3</v>
      </c>
      <c r="AK5" s="70">
        <v>4</v>
      </c>
      <c r="AL5" s="70">
        <v>0</v>
      </c>
      <c r="AM5" s="70" t="s">
        <v>444</v>
      </c>
      <c r="AN5" s="70">
        <v>6364</v>
      </c>
      <c r="AO5" s="70" t="s">
        <v>178</v>
      </c>
      <c r="AP5" s="71">
        <v>1</v>
      </c>
      <c r="AQ5" s="77" t="s">
        <v>194</v>
      </c>
      <c r="AR5" s="77">
        <v>7</v>
      </c>
      <c r="AS5" s="77">
        <v>7</v>
      </c>
      <c r="AT5" s="77">
        <v>6</v>
      </c>
      <c r="AV5" s="70">
        <v>40</v>
      </c>
      <c r="AW5" s="70">
        <v>45</v>
      </c>
      <c r="AX5" s="70">
        <v>1005</v>
      </c>
      <c r="AY5" s="70">
        <v>275</v>
      </c>
      <c r="AZ5" s="70">
        <v>4</v>
      </c>
      <c r="BA5" s="70" t="s">
        <v>208</v>
      </c>
      <c r="BB5" s="70">
        <v>3</v>
      </c>
      <c r="BC5" s="70">
        <v>275</v>
      </c>
      <c r="BD5" s="70">
        <v>45</v>
      </c>
      <c r="BE5" s="70">
        <v>20</v>
      </c>
      <c r="BF5" s="70" t="s">
        <v>443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2"/>
  <dimension ref="A1:D11"/>
  <sheetViews>
    <sheetView showGridLines="0" workbookViewId="0">
      <selection activeCell="H23" sqref="H23"/>
    </sheetView>
  </sheetViews>
  <sheetFormatPr defaultRowHeight="15" x14ac:dyDescent="0.2"/>
  <cols>
    <col min="1" max="4" width="10.33203125" customWidth="1"/>
  </cols>
  <sheetData>
    <row r="1" spans="1:4" x14ac:dyDescent="0.2">
      <c r="A1" s="74" t="s">
        <v>180</v>
      </c>
      <c r="B1" s="74" t="s">
        <v>173</v>
      </c>
      <c r="C1" s="74" t="s">
        <v>181</v>
      </c>
      <c r="D1" s="74" t="s">
        <v>182</v>
      </c>
    </row>
    <row r="2" spans="1:4" x14ac:dyDescent="0.2">
      <c r="A2" s="36">
        <v>1</v>
      </c>
      <c r="B2" s="36" t="s">
        <v>183</v>
      </c>
      <c r="C2" s="36" t="s">
        <v>183</v>
      </c>
      <c r="D2" s="36">
        <v>123</v>
      </c>
    </row>
    <row r="3" spans="1:4" x14ac:dyDescent="0.2">
      <c r="A3" s="36"/>
      <c r="B3" s="36"/>
      <c r="C3" s="36"/>
      <c r="D3" s="36"/>
    </row>
    <row r="4" spans="1:4" x14ac:dyDescent="0.2">
      <c r="A4" s="36"/>
      <c r="B4" s="36"/>
      <c r="C4" s="36"/>
      <c r="D4" s="36"/>
    </row>
    <row r="5" spans="1:4" x14ac:dyDescent="0.2">
      <c r="A5" s="36"/>
      <c r="B5" s="36"/>
      <c r="C5" s="36"/>
      <c r="D5" s="36"/>
    </row>
    <row r="6" spans="1:4" x14ac:dyDescent="0.2">
      <c r="A6" s="73"/>
      <c r="B6" s="73"/>
      <c r="C6" s="73"/>
      <c r="D6" s="73"/>
    </row>
    <row r="7" spans="1:4" x14ac:dyDescent="0.2">
      <c r="A7" s="73"/>
      <c r="B7" s="73"/>
      <c r="C7" s="73"/>
      <c r="D7" s="73"/>
    </row>
    <row r="8" spans="1:4" x14ac:dyDescent="0.2">
      <c r="A8" s="73"/>
      <c r="B8" s="73"/>
      <c r="C8" s="73"/>
      <c r="D8" s="73"/>
    </row>
    <row r="9" spans="1:4" x14ac:dyDescent="0.2">
      <c r="A9" s="73"/>
      <c r="B9" s="73"/>
      <c r="C9" s="73"/>
      <c r="D9" s="73"/>
    </row>
    <row r="10" spans="1:4" x14ac:dyDescent="0.2">
      <c r="A10" s="73"/>
      <c r="B10" s="73"/>
      <c r="C10" s="73"/>
      <c r="D10" s="73"/>
    </row>
    <row r="11" spans="1:4" x14ac:dyDescent="0.2">
      <c r="A11" s="73"/>
      <c r="B11" s="73"/>
      <c r="C11" s="73"/>
      <c r="D11" s="7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D6"/>
  <sheetViews>
    <sheetView workbookViewId="0">
      <selection activeCell="B10" sqref="B10"/>
    </sheetView>
  </sheetViews>
  <sheetFormatPr defaultRowHeight="15" x14ac:dyDescent="0.2"/>
  <cols>
    <col min="1" max="1" width="26.77734375" style="64" bestFit="1" customWidth="1"/>
    <col min="2" max="2" width="49.88671875" style="64" bestFit="1" customWidth="1"/>
    <col min="3" max="3" width="11.109375" style="64" customWidth="1"/>
    <col min="4" max="4" width="7.44140625" style="64" bestFit="1" customWidth="1"/>
    <col min="5" max="16384" width="8.88671875" style="64"/>
  </cols>
  <sheetData>
    <row r="1" spans="1:4" x14ac:dyDescent="0.2">
      <c r="A1" s="65" t="s">
        <v>28</v>
      </c>
      <c r="B1" s="65" t="s">
        <v>29</v>
      </c>
      <c r="C1" s="65" t="s">
        <v>30</v>
      </c>
      <c r="D1" s="65" t="s">
        <v>21</v>
      </c>
    </row>
    <row r="2" spans="1:4" x14ac:dyDescent="0.2">
      <c r="A2" s="65" t="s">
        <v>31</v>
      </c>
      <c r="B2" s="65" t="s">
        <v>298</v>
      </c>
      <c r="C2" s="65" t="s">
        <v>48</v>
      </c>
      <c r="D2" s="65" t="s">
        <v>50</v>
      </c>
    </row>
    <row r="3" spans="1:4" x14ac:dyDescent="0.2">
      <c r="A3" s="65" t="s">
        <v>32</v>
      </c>
      <c r="B3" s="65" t="s">
        <v>298</v>
      </c>
      <c r="C3" s="65" t="s">
        <v>48</v>
      </c>
      <c r="D3" s="65" t="s">
        <v>50</v>
      </c>
    </row>
    <row r="4" spans="1:4" x14ac:dyDescent="0.2">
      <c r="A4" s="65" t="s">
        <v>33</v>
      </c>
      <c r="B4" s="65" t="s">
        <v>298</v>
      </c>
      <c r="C4" s="65" t="s">
        <v>48</v>
      </c>
      <c r="D4" s="65" t="s">
        <v>50</v>
      </c>
    </row>
    <row r="5" spans="1:4" x14ac:dyDescent="0.2">
      <c r="A5" s="65" t="s">
        <v>34</v>
      </c>
      <c r="B5" s="65" t="s">
        <v>52</v>
      </c>
      <c r="C5" s="65" t="s">
        <v>49</v>
      </c>
      <c r="D5" s="65" t="s">
        <v>51</v>
      </c>
    </row>
    <row r="6" spans="1:4" x14ac:dyDescent="0.2">
      <c r="A6" s="65" t="s">
        <v>35</v>
      </c>
      <c r="B6" s="65" t="s">
        <v>298</v>
      </c>
      <c r="C6" s="65" t="s">
        <v>48</v>
      </c>
      <c r="D6" s="65" t="s">
        <v>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Entrada</vt:lpstr>
      <vt:lpstr>Iniciar</vt:lpstr>
      <vt:lpstr>info_micro</vt:lpstr>
      <vt:lpstr>gera_subs</vt:lpstr>
      <vt:lpstr>base_cmb_frm1</vt:lpstr>
      <vt:lpstr>info_form</vt:lpstr>
      <vt:lpstr>dados_micro</vt:lpstr>
      <vt:lpstr>dados_cadastro</vt:lpstr>
      <vt:lpstr>dados_usuario</vt:lpstr>
      <vt:lpstr>base_projetista</vt:lpstr>
    </vt:vector>
  </TitlesOfParts>
  <Company>Taranis Solar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Unifilar EDP</dc:title>
  <dc:creator>Gabriel;Fernando Henrique</dc:creator>
  <cp:lastModifiedBy>Taranis</cp:lastModifiedBy>
  <cp:revision>8</cp:revision>
  <cp:lastPrinted>2022-12-06T18:00:51Z</cp:lastPrinted>
  <dcterms:created xsi:type="dcterms:W3CDTF">2022-02-15T14:42:27Z</dcterms:created>
  <dcterms:modified xsi:type="dcterms:W3CDTF">2023-01-25T03:58:08Z</dcterms:modified>
  <cp:version>1.5</cp:version>
</cp:coreProperties>
</file>